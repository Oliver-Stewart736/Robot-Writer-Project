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defaultThemeVersion="166925"/>
  <mc:AlternateContent xmlns:mc="http://schemas.openxmlformats.org/markup-compatibility/2006">
    <mc:Choice Requires="x15">
      <x15ac:absPath xmlns:x15ac="http://schemas.microsoft.com/office/spreadsheetml/2010/11/ac" url="https://uniofnottm-my.sharepoint.com/personal/louise_brown_nottingham_ac_uk/Documents/Documents/Mechatronics/MMME3085 2024-2025/Project/"/>
    </mc:Choice>
  </mc:AlternateContent>
  <xr:revisionPtr revIDLastSave="240" documentId="13_ncr:1_{AC968199-36A1-4DC8-9415-0FA005D65DB8}" xr6:coauthVersionLast="47" xr6:coauthVersionMax="47" xr10:uidLastSave="{C24D010C-A24D-4D38-ACFD-1B09B692879E}"/>
  <bookViews>
    <workbookView xWindow="20370" yWindow="-2595" windowWidth="29040" windowHeight="15840" xr2:uid="{BEAF5B25-FF5C-42C7-9ED0-BDEC0A921434}"/>
  </bookViews>
  <sheets>
    <sheet name="Marking" sheetId="1" r:id="rId1"/>
    <sheet name="Criteria Options" sheetId="2" r:id="rId2"/>
    <sheet name="Marks" sheetId="3" r:id="rId3"/>
  </sheets>
  <definedNames>
    <definedName name="Outline">'Criteria Options'!$A$24:$E$24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7" i="1" l="1"/>
  <c r="U26" i="1"/>
  <c r="U22" i="1"/>
  <c r="U21" i="1"/>
  <c r="U20" i="1"/>
  <c r="U19" i="1"/>
  <c r="U18" i="1"/>
  <c r="U14" i="1"/>
  <c r="U8" i="1"/>
  <c r="U13" i="1"/>
  <c r="U12" i="1"/>
  <c r="U10" i="1"/>
  <c r="U9" i="1"/>
  <c r="U7" i="1"/>
  <c r="U6" i="1"/>
  <c r="U31" i="1" l="1"/>
  <c r="B17" i="3" s="1"/>
  <c r="T31" i="1"/>
  <c r="B4" i="3"/>
  <c r="B3" i="3"/>
  <c r="B5" i="3"/>
  <c r="B2" i="3"/>
  <c r="T7" i="1"/>
  <c r="T8" i="1"/>
  <c r="T9" i="1"/>
  <c r="T10" i="1"/>
  <c r="T11" i="1"/>
  <c r="U11" i="1"/>
  <c r="U35" i="1"/>
  <c r="B18" i="3" s="1"/>
  <c r="T35" i="1"/>
  <c r="B16" i="3" l="1"/>
  <c r="B15" i="3"/>
  <c r="B14" i="3"/>
  <c r="B13" i="3"/>
  <c r="B12" i="3"/>
  <c r="B11" i="3"/>
  <c r="B10" i="3"/>
  <c r="B9" i="3"/>
  <c r="B8" i="3"/>
  <c r="B7" i="3"/>
  <c r="B6" i="3"/>
  <c r="B1" i="3"/>
  <c r="B19" i="3" l="1"/>
  <c r="T12" i="1"/>
  <c r="T13" i="1"/>
  <c r="T14" i="1" l="1"/>
  <c r="T6" i="1"/>
  <c r="T19" i="1" l="1"/>
  <c r="T21" i="1" l="1"/>
  <c r="T20" i="1"/>
  <c r="T27" i="1"/>
  <c r="T26" i="1"/>
  <c r="T22" i="1"/>
  <c r="T18" i="1"/>
</calcChain>
</file>

<file path=xl/sharedStrings.xml><?xml version="1.0" encoding="utf-8"?>
<sst xmlns="http://schemas.openxmlformats.org/spreadsheetml/2006/main" count="165" uniqueCount="159">
  <si>
    <t>Student Name :</t>
  </si>
  <si>
    <t>I.D. Number :</t>
  </si>
  <si>
    <t>Marked By</t>
  </si>
  <si>
    <t>General Comments</t>
  </si>
  <si>
    <t>General Comments:</t>
  </si>
  <si>
    <t>None provided.</t>
  </si>
  <si>
    <t>All relevant information on data storage for key items is provided.</t>
  </si>
  <si>
    <t>No testing information has been provided.</t>
  </si>
  <si>
    <t>Comprehensive testing data is provided that verifies the correct operational flow of the application.</t>
  </si>
  <si>
    <t>Testing data follows the flow of the code, providing data for all functions and the main program, however test coverage is incomplete.</t>
  </si>
  <si>
    <t>No flowchart(s) indicating the code flow have been provided.</t>
  </si>
  <si>
    <t>No flowchart(s) have been provided.</t>
  </si>
  <si>
    <t>Flowchart is difficult to follow which is likely to cause errors in developed code (e.g. wrong decisions, lines merging or crossing etc. ).</t>
  </si>
  <si>
    <t>The flowchart is generally well laid out, some ambiguity AND errors in flow logic remain.</t>
  </si>
  <si>
    <t>The flowchart is generally well laid out, some ambiguity OR errors in flow logic remain.</t>
  </si>
  <si>
    <t>Not provided</t>
  </si>
  <si>
    <t>Excellent answer</t>
  </si>
  <si>
    <t>No answer</t>
  </si>
  <si>
    <t>Poor answer</t>
  </si>
  <si>
    <t>Adequate answer</t>
  </si>
  <si>
    <t>Good answer</t>
  </si>
  <si>
    <t>Software description</t>
  </si>
  <si>
    <t>Data items</t>
  </si>
  <si>
    <t>Functions</t>
  </si>
  <si>
    <t>Testing</t>
  </si>
  <si>
    <t>Flowchart 1</t>
  </si>
  <si>
    <t>Flowchart 2</t>
  </si>
  <si>
    <t>List of files in the project is given however no further information is provided</t>
  </si>
  <si>
    <t>No functions used.</t>
  </si>
  <si>
    <t>A list of functions for the code is provided, however no input/return parameters are provided AND function names are NOT descriptive of the operation of the function.</t>
  </si>
  <si>
    <t>A list of all  key functions for the code is provided. Input/return parameters are incomplete. Function names are descriptive of the operation of the function. Some operation details are provided.</t>
  </si>
  <si>
    <t>A clear list of the key functions in the code has been provided. Function names are applicable to the task and input/return parameters are fully specified. Operation details are provided.</t>
  </si>
  <si>
    <t>Limited items are indicated although the exact nature of how key elements are stored is not explicitly specified.</t>
  </si>
  <si>
    <t>Some data storage is specified but the detail of how key elements are stored and the rationale behind the choice of data type(s) is unclear or incorrect.</t>
  </si>
  <si>
    <t>Data storage is detailed, how key elements are stored is provided, however the rationale behind the choice of data type(s) is not clear.</t>
  </si>
  <si>
    <t>Flowchart is sufficiently well laid out that the code can be easily developed/understood.</t>
  </si>
  <si>
    <t>Flowcharts are comprehensive showing the flow of code. They include flowcharts for functions, suitable paths for error trapping and all required items for development/understanding of correctly operating code.</t>
  </si>
  <si>
    <t>More detailed flowchart(s) have been provided, including flowcharts for functions. In places, however, they do not show how the full implementation is done (e.g. no suitable paths for error trapping).</t>
  </si>
  <si>
    <t>More detailed flowchart(s) have been provided however, in places, they do not show how the full implementation is done (e.g. no indication of function calls) and/or indicators of flow (e.g. yes/no indicators in decisions) are missing.</t>
  </si>
  <si>
    <t>A flowchart(s) has been provided but it provides only the most basic information - it would not be possible to develop/understand the code based on these.</t>
  </si>
  <si>
    <t>Code does not compile</t>
  </si>
  <si>
    <t>No code is provided</t>
  </si>
  <si>
    <t>Code compiles but there are warnings OR it does not give valid output</t>
  </si>
  <si>
    <t>Naming of variables/functions is such that purpose cannot be determined from them.</t>
  </si>
  <si>
    <t>An attempt to use appropriate names for functions/variables has been made however in many places the choice is likely to lead to confusion AND variables are unsuited to the item they are holding.</t>
  </si>
  <si>
    <t>An attempt to use appropriate names for functions/variables has been made howver in many places the choice is likely to lead to confusion OR variable types are unsuited to the item they are holding.</t>
  </si>
  <si>
    <t>A clear and sensible approach to naming of functions and variables has been adopted throughout the code. Variable types are also appropriate  to the items being stored.</t>
  </si>
  <si>
    <t>Code is of such poor quality/structure that its operation cannot be determined without extensive study (e.g. all user developed code is within a single main() function).</t>
  </si>
  <si>
    <t>The flow of the code (within functions including main() ) is such that the operation is not immediately clear leading to confusion over its operation. Little use of functions is made meaning code cannot be easily studied nor debugged.</t>
  </si>
  <si>
    <t>Naming convention and variable type
5%</t>
  </si>
  <si>
    <t>Code has been split into functions each of which has a clear flow however it is not always possible to check if their operation has been successful.</t>
  </si>
  <si>
    <t>Some use has been made of functions, although there are still parts of the code where better use of functions would have clarified its operation.</t>
  </si>
  <si>
    <t>Code has been split into functions each of which has a clear flow with appropriate return values allowing correct operation to be validated.</t>
  </si>
  <si>
    <t>No error checking has been used in the code</t>
  </si>
  <si>
    <t>Full error checking has not been applied to user input and interaction with the operating system (e.g. testing successful opening of files) AND functions are not returning error codes (where appropriate).</t>
  </si>
  <si>
    <t>Suitable error checking has been applied throughout (with exit codes from functions to indicate success/failure).</t>
  </si>
  <si>
    <t>Full error checking has not been applied to user input and interaction with the operating system (e.g. testing successful opening of files) OR functions are not returning error codes (where appropriate).</t>
  </si>
  <si>
    <t>There is very limited error checking in the code.</t>
  </si>
  <si>
    <t>Code compilation</t>
  </si>
  <si>
    <t>Naming</t>
  </si>
  <si>
    <t>Code structure</t>
  </si>
  <si>
    <t>Error trapping</t>
  </si>
  <si>
    <t>Comments</t>
  </si>
  <si>
    <t>Files used</t>
  </si>
  <si>
    <t>Comments meet requirements of good coding practice and code layout makes it easy to follow.</t>
  </si>
  <si>
    <t>Limited commenting has been used meaning that to understand complex sections of code would require considerable reading of the code AND layout of code makes it difficult to follow.</t>
  </si>
  <si>
    <t>Limited commenting has been used meaning that to understand complex sections of code would require considerable reading of the code OR layout of code makes it difficult to follow.</t>
  </si>
  <si>
    <t>The code is commented reasonably well and the code layout makes it relatively easy to follow.</t>
  </si>
  <si>
    <t>Flowchart</t>
  </si>
  <si>
    <t>Flowchart, operation of code</t>
  </si>
  <si>
    <t>Flowchart, quality of work, layout etc</t>
  </si>
  <si>
    <t>MMME3085: Robot Writing Software Project</t>
  </si>
  <si>
    <t>Robot Testing - 5%</t>
  </si>
  <si>
    <t>Testing of code with drawing robot in lab session 
5%</t>
  </si>
  <si>
    <t>Testing of code with drawing robot</t>
  </si>
  <si>
    <t>Did not attend robot testing session</t>
  </si>
  <si>
    <t>Robot testing</t>
  </si>
  <si>
    <t>Code compiles and gives valid output but there are warnings</t>
  </si>
  <si>
    <t>Code compiles without warnings and gives valid output</t>
  </si>
  <si>
    <t>Some data is read from the file but is not stored</t>
  </si>
  <si>
    <t>Some data is read from the file and stored OR all data is read from the file but is not stored</t>
  </si>
  <si>
    <t>All data is read from the file and stored but the data format is not optimal</t>
  </si>
  <si>
    <t>Grid creation</t>
  </si>
  <si>
    <t>Outline is of such limited detail as not  to provide even the basic information on the functioning of the software.</t>
  </si>
  <si>
    <t>Only a limited outline of the system has been provided. Considerable investigation would be needed to obtain a full understanding of how the software works.</t>
  </si>
  <si>
    <t>The analysis of the system has provided the majority of the details required, however some further work would be needed to clarify specific details before a full understanding could be gained.</t>
  </si>
  <si>
    <t>The analysis of the system is of sufficient detail that a full understanding of the operational flow and data requirements of the software can be gained.</t>
  </si>
  <si>
    <t>Full details of the files and functionality is provided. Any parameters to be set (e.g. COM port) are specified OR details of where conditional compilation is used to determine mode of operation</t>
  </si>
  <si>
    <t>Full details of the files and functionality is provided. Any parameters to be set (e.g. COM port) are specified AND details of where conditional compilation is used to determine mode of operation</t>
  </si>
  <si>
    <t>List of files in the project is given. An indication of functionality each provides  is provided OR any parameters to be set (e.g. COM port) are specified OR details of where conditional compilation is used to determine mode of operation</t>
  </si>
  <si>
    <t>Some commands were sent to the robot but drawing was incorrect or only a small part of the task was executed</t>
  </si>
  <si>
    <t>Shape data</t>
  </si>
  <si>
    <t>Drawing shapes</t>
  </si>
  <si>
    <t>Tic tac toe</t>
  </si>
  <si>
    <t>Testing data is provided for all functions OR the main program. Only limited examples are provided and coverage is incomplete.</t>
  </si>
  <si>
    <t>Test data is provided, however it is insufficient to allow testing of all program paths (e.g. test case data is only provided for the 'OK' case).  Test data for some functions or main is missing.</t>
  </si>
  <si>
    <t>A list of functions for the code is provided. Input/return parameters are incomplete OR function names are NOT descriptive of the operation of the function.</t>
  </si>
  <si>
    <t>No version control has been used or the git repository does not contain any documents.</t>
  </si>
  <si>
    <t>A git repository has been submitted but some of the code and documentation files are missing.</t>
  </si>
  <si>
    <t>A git repository has been set up containing project, documentation and code files. There is evidence that a regular commits have taken place with meaningful commit messages as the code has been developed and the documentation files have been updated.</t>
  </si>
  <si>
    <t>A git repository has been set up containing all of the project, code and documentation files but no changes have been committed after the initial addition to the repo.</t>
  </si>
  <si>
    <t>A git repository has been set up containing project, code and documentation files have been added to the repository. A very limited number of commits have been made OR the commit messages are not meaningful.</t>
  </si>
  <si>
    <t>No font data is read from file</t>
  </si>
  <si>
    <t>All font data is read from the file and stored into a suitable data format</t>
  </si>
  <si>
    <t>No user input for font height</t>
  </si>
  <si>
    <t>No text data is read from file</t>
  </si>
  <si>
    <t>All text data is read from the file, processing each word and sending to the robot before the next text data is read</t>
  </si>
  <si>
    <t>No letters are drawn</t>
  </si>
  <si>
    <t>Commands were sent to the robot successfully and the text was displayed correctly at the scale input by the user with the correct line width and all words complete (ie not split across lines)</t>
  </si>
  <si>
    <t>Commands were sent to the robot successfully and the text was displayed correctly at the scale input by the user but the line width was incorrect OR not all words were complete (ie not split across lines)</t>
  </si>
  <si>
    <t>Some text is read from the file and the corresponding font data located but this is not used to generate any output data</t>
  </si>
  <si>
    <t>Some letters are drawn but the position and orientation are incorrect</t>
  </si>
  <si>
    <t>Some letters are drawn in the correct position and orientation but the line ends and new lines are not correctly processed</t>
  </si>
  <si>
    <t>Some text is read from the file but is not used</t>
  </si>
  <si>
    <t>All text is read from the file and the corresponding font data located. Output data is sent to the robot but this is either the whole text at once or one letter at a time.</t>
  </si>
  <si>
    <t>A height is input by the user but there is no range checking AND it is not used to scale the font data</t>
  </si>
  <si>
    <t>A height is input by the user with range checking and is used to correctly scale the font data</t>
  </si>
  <si>
    <t>A height is input by the user with range checking but the scaling is incorrect</t>
  </si>
  <si>
    <t>A height is input by the user: there is no range checking or it is not used to scale the font data
 OR height is hard coded but scaling is correct for that height</t>
  </si>
  <si>
    <t>Most letters are drawn correctly, in the correct position and orientation. New lines are processed correctly. Words are split across lines OR the line width is incorrect</t>
  </si>
  <si>
    <t>All letters are drawn correctly, in the correct position and orientation. New lines are processed correctly. Words are complete (ie a new line is forced if the word would exceed the allowable line width). The correct width of lines is used</t>
  </si>
  <si>
    <t>Developed Code -60%</t>
  </si>
  <si>
    <t>Use of version control - 5%</t>
  </si>
  <si>
    <t>System Manual - 20%</t>
  </si>
  <si>
    <t>Flowchart - 10%</t>
  </si>
  <si>
    <t>Input of font height and scaling of font data
5%</t>
  </si>
  <si>
    <t>Best Practice/Quality of Code - error checking and use of return codes
7%</t>
  </si>
  <si>
    <t>Positioning of letters drawn
10%</t>
  </si>
  <si>
    <t>Reading and storing font data
8%</t>
  </si>
  <si>
    <t>Reading and processing text data
10%</t>
  </si>
  <si>
    <t>Best Practice/Quality of Code - code structure
8%</t>
  </si>
  <si>
    <t>Code Compilation
3%</t>
  </si>
  <si>
    <t>Developed Code - 60%</t>
  </si>
  <si>
    <t>Code compilation - 3%</t>
  </si>
  <si>
    <t>Reading and storing font data - 8%</t>
  </si>
  <si>
    <t>Reading and processing text data - 10%</t>
  </si>
  <si>
    <t>Positioning of letters drawn - 10%</t>
  </si>
  <si>
    <t>Naming convention and variable type - 5%</t>
  </si>
  <si>
    <t>Best Practice/Quality of Code - code structure - 8%</t>
  </si>
  <si>
    <t>Best Practice/Quality of Code - error checking and use of return codes - 7%</t>
  </si>
  <si>
    <t>Commenting and code layout
4%</t>
  </si>
  <si>
    <t>Input of font height and scaling of font data - 5%</t>
  </si>
  <si>
    <t>Commenting and code layout - 4%</t>
  </si>
  <si>
    <t>System manual - 20%</t>
  </si>
  <si>
    <t>Outline of the overall function of the program
4%</t>
  </si>
  <si>
    <t>Details of files used in the project (.c/.h) with indications of where configuration changes may be needed during development
4%</t>
  </si>
  <si>
    <t>Data storage for key items
4%</t>
  </si>
  <si>
    <t>Key functions (you need only list those you will develop, those provided e.g. RS232 need not be detailed)
4%</t>
  </si>
  <si>
    <t>Testing data for functions and overall application
4%</t>
  </si>
  <si>
    <t>Outline of the overall function of the program - 4%</t>
  </si>
  <si>
    <t>Details of files used in the project - 4%</t>
  </si>
  <si>
    <t>Data storage for KEY items -4%</t>
  </si>
  <si>
    <t xml:space="preserve"> KEY functions as developed for the application - 4%</t>
  </si>
  <si>
    <t>Testing information -4%</t>
  </si>
  <si>
    <t>Flowchart detailing the required operation of the code 
7%</t>
  </si>
  <si>
    <t>Quality of work (ease of following, layout, consistency in fonts etc.) as distinct from the logical flow of the code
3%</t>
  </si>
  <si>
    <t>Setup of git repository and its use to store changes to documents
5%</t>
  </si>
  <si>
    <t>Commands were sent to the robot successfully and the text was displayed correctly at the scale input by the user. Line width correct and all words complete (ie not split across lines)</t>
  </si>
  <si>
    <t>Version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</si>
</sst>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1" x14ac:knownFonts="1">
    <font>
      <sz val="11"/>
      <color theme="1"/>
      <name val="Calibri"/>
      <family val="2"/>
      <scheme val="minor"/>
    </font>
    <font>
      <sz val="10"/>
      <name val="Arial"/>
      <family val="2"/>
    </font>
    <font>
      <sz val="10"/>
      <name val="Times New Roman"/>
      <family val="1"/>
    </font>
    <font>
      <b/>
      <sz val="14"/>
      <name val="Calibri"/>
      <family val="2"/>
      <scheme val="minor"/>
    </font>
    <font>
      <b/>
      <sz val="12"/>
      <name val="Calibri"/>
      <family val="2"/>
      <scheme val="minor"/>
    </font>
    <font>
      <sz val="12"/>
      <name val="Calibri"/>
      <family val="2"/>
      <scheme val="minor"/>
    </font>
    <font>
      <sz val="6.5"/>
      <name val="Times New Roman"/>
      <family val="1"/>
    </font>
    <font>
      <sz val="12"/>
      <name val="Arial"/>
      <family val="2"/>
    </font>
    <font>
      <sz val="10"/>
      <name val="Calibri Light"/>
      <family val="2"/>
      <scheme val="major"/>
    </font>
    <font>
      <sz val="12"/>
      <name val="Verdana"/>
      <family val="2"/>
    </font>
    <font>
      <b/>
      <sz val="14"/>
      <name val="Calibri Light"/>
      <family val="2"/>
      <scheme val="major"/>
    </font>
  </fonts>
  <fills count="8">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indexed="2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FFCC"/>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cellStyleXfs>
  <cellXfs count="48">
    <xf numFmtId="0" fontId="0" fillId="0" borderId="0" xfId="0"/>
    <xf numFmtId="0" fontId="2" fillId="0" borderId="0" xfId="1" applyFont="1" applyAlignment="1">
      <alignment horizontal="center" vertical="center" wrapText="1"/>
    </xf>
    <xf numFmtId="0" fontId="2" fillId="0" borderId="0" xfId="1" applyFont="1" applyAlignment="1">
      <alignment horizontal="left" vertical="center"/>
    </xf>
    <xf numFmtId="0" fontId="4" fillId="0" borderId="0" xfId="1" applyFont="1" applyAlignment="1">
      <alignment horizontal="right" vertical="center"/>
    </xf>
    <xf numFmtId="0" fontId="5" fillId="0" borderId="0" xfId="1" applyFont="1" applyAlignment="1">
      <alignment horizontal="left" vertical="center"/>
    </xf>
    <xf numFmtId="0" fontId="4" fillId="0" borderId="6" xfId="1" applyFont="1" applyBorder="1" applyAlignment="1">
      <alignment horizontal="right" vertical="center"/>
    </xf>
    <xf numFmtId="0" fontId="2" fillId="0" borderId="0" xfId="1" applyFont="1" applyAlignment="1">
      <alignment vertical="center" wrapText="1"/>
    </xf>
    <xf numFmtId="0" fontId="5" fillId="0" borderId="0" xfId="1" applyFont="1" applyAlignment="1">
      <alignment horizontal="right" vertical="center"/>
    </xf>
    <xf numFmtId="0" fontId="8" fillId="4" borderId="8" xfId="1" applyFont="1" applyFill="1" applyBorder="1" applyAlignment="1">
      <alignment horizontal="center" vertical="center" wrapText="1"/>
    </xf>
    <xf numFmtId="0" fontId="6" fillId="0" borderId="0" xfId="1" applyFont="1" applyAlignment="1">
      <alignment horizontal="center" vertical="center" wrapText="1"/>
    </xf>
    <xf numFmtId="0" fontId="0" fillId="0" borderId="8" xfId="0" applyBorder="1"/>
    <xf numFmtId="0" fontId="0" fillId="0" borderId="8" xfId="0" applyBorder="1" applyAlignment="1">
      <alignment wrapText="1"/>
    </xf>
    <xf numFmtId="0" fontId="0" fillId="0" borderId="1" xfId="0" applyBorder="1" applyAlignment="1">
      <alignment wrapText="1"/>
    </xf>
    <xf numFmtId="9" fontId="0" fillId="0" borderId="8" xfId="0" applyNumberFormat="1" applyBorder="1" applyAlignment="1">
      <alignment horizontal="center"/>
    </xf>
    <xf numFmtId="0" fontId="0" fillId="0" borderId="8" xfId="0" applyBorder="1" applyAlignment="1">
      <alignment horizontal="center"/>
    </xf>
    <xf numFmtId="164" fontId="0" fillId="0" borderId="0" xfId="0" applyNumberFormat="1" applyProtection="1">
      <protection hidden="1"/>
    </xf>
    <xf numFmtId="164" fontId="0" fillId="0" borderId="0" xfId="0" applyNumberFormat="1"/>
    <xf numFmtId="0" fontId="0" fillId="0" borderId="2" xfId="0" applyBorder="1" applyAlignment="1">
      <alignment wrapText="1"/>
    </xf>
    <xf numFmtId="0" fontId="0" fillId="0" borderId="10" xfId="0" applyBorder="1" applyAlignment="1">
      <alignment wrapText="1"/>
    </xf>
    <xf numFmtId="0" fontId="0" fillId="0" borderId="11" xfId="0" applyBorder="1"/>
    <xf numFmtId="0" fontId="0" fillId="0" borderId="12" xfId="0" applyBorder="1"/>
    <xf numFmtId="0" fontId="9" fillId="0" borderId="9" xfId="1" applyFont="1" applyBorder="1" applyAlignment="1">
      <alignment horizontal="left" vertical="center" wrapText="1"/>
    </xf>
    <xf numFmtId="0" fontId="0" fillId="0" borderId="0" xfId="0" applyAlignment="1">
      <alignment vertical="center" wrapText="1"/>
    </xf>
    <xf numFmtId="0" fontId="6" fillId="0" borderId="0" xfId="1" applyFont="1" applyAlignment="1">
      <alignment horizontal="center" vertical="center" wrapText="1"/>
    </xf>
    <xf numFmtId="0" fontId="10" fillId="5" borderId="10" xfId="1" applyFont="1" applyFill="1" applyBorder="1" applyAlignment="1">
      <alignment horizontal="left" vertical="top" wrapText="1"/>
    </xf>
    <xf numFmtId="0" fontId="10" fillId="5" borderId="11" xfId="1" applyFont="1" applyFill="1" applyBorder="1" applyAlignment="1">
      <alignment horizontal="left" vertical="top" wrapText="1"/>
    </xf>
    <xf numFmtId="0" fontId="10" fillId="5" borderId="12" xfId="1" applyFont="1" applyFill="1" applyBorder="1" applyAlignment="1">
      <alignment horizontal="left" vertical="top" wrapText="1"/>
    </xf>
    <xf numFmtId="0" fontId="7" fillId="3" borderId="0" xfId="0" applyFont="1" applyFill="1" applyAlignment="1">
      <alignment horizontal="left" wrapText="1" indent="1"/>
    </xf>
    <xf numFmtId="0" fontId="9" fillId="0" borderId="0" xfId="1" applyFont="1" applyAlignment="1">
      <alignment horizontal="left" vertical="center" wrapText="1"/>
    </xf>
    <xf numFmtId="0" fontId="9" fillId="0" borderId="6" xfId="1" applyFont="1" applyBorder="1" applyAlignment="1">
      <alignment horizontal="left" vertical="center" wrapText="1"/>
    </xf>
    <xf numFmtId="0" fontId="9" fillId="0" borderId="9" xfId="1" applyFont="1" applyBorder="1" applyAlignment="1">
      <alignment horizontal="left" vertical="center"/>
    </xf>
    <xf numFmtId="0" fontId="9" fillId="0" borderId="0" xfId="1" applyFont="1" applyAlignment="1">
      <alignment horizontal="left" vertical="center"/>
    </xf>
    <xf numFmtId="0" fontId="9" fillId="0" borderId="6" xfId="1" applyFont="1" applyBorder="1" applyAlignment="1">
      <alignment horizontal="left" vertical="center"/>
    </xf>
    <xf numFmtId="0" fontId="0" fillId="0" borderId="0" xfId="0" applyAlignment="1">
      <alignment vertical="center"/>
    </xf>
    <xf numFmtId="0" fontId="0" fillId="0" borderId="6" xfId="0" applyBorder="1" applyAlignment="1">
      <alignment vertical="center"/>
    </xf>
    <xf numFmtId="0" fontId="0" fillId="0" borderId="6" xfId="0" applyBorder="1" applyAlignment="1">
      <alignment vertical="center" wrapText="1"/>
    </xf>
    <xf numFmtId="0" fontId="3"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5" fillId="0" borderId="3" xfId="1" applyFont="1" applyBorder="1" applyAlignment="1">
      <alignment horizontal="center" vertical="center"/>
    </xf>
    <xf numFmtId="0" fontId="5" fillId="0" borderId="4" xfId="1" applyFont="1" applyBorder="1" applyAlignment="1">
      <alignment horizontal="center" vertical="center"/>
    </xf>
    <xf numFmtId="0" fontId="5" fillId="0" borderId="5" xfId="1" applyFont="1" applyBorder="1" applyAlignment="1">
      <alignment horizontal="center" vertical="center"/>
    </xf>
    <xf numFmtId="0" fontId="2" fillId="0" borderId="1" xfId="1" applyFont="1" applyBorder="1" applyAlignment="1">
      <alignment horizontal="center" vertical="center" wrapText="1"/>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0" fillId="6" borderId="2" xfId="0" applyFill="1" applyBorder="1"/>
    <xf numFmtId="0" fontId="0" fillId="7" borderId="2" xfId="0" applyFill="1" applyBorder="1"/>
    <xf numFmtId="0" fontId="0" fillId="7" borderId="0" xfId="0" applyFill="1"/>
    <xf numFmtId="0" fontId="0" fillId="6" borderId="0" xfId="0" applyFill="1"/>
  </cellXfs>
  <cellStyles count="2">
    <cellStyle name="Normal" xfId="0" builtinId="0"/>
    <cellStyle name="Normal 2" xfId="1" xr:uid="{1B671070-41E0-4C6E-BA5C-623CDB3B6465}"/>
  </cellStyles>
  <dxfs count="14">
    <dxf>
      <fill>
        <patternFill>
          <fgColor rgb="FFFFCCCC"/>
          <bgColor rgb="FFFFCCCC"/>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fgColor rgb="FFFFCCCC"/>
          <bgColor rgb="FFFFCCCC"/>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fgColor rgb="FFFFCCCC"/>
          <bgColor rgb="FFFFCCCC"/>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fgColor rgb="FFFFCCCC"/>
          <bgColor rgb="FFFFCCCC"/>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fgColor rgb="FFFFCCCC"/>
          <bgColor rgb="FFFFCCCC"/>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fgColor rgb="FFFFCCCC"/>
          <bgColor rgb="FFFFCCCC"/>
        </patternFill>
      </fill>
      <border>
        <left style="thin">
          <color auto="1"/>
        </left>
        <right style="thin">
          <color auto="1"/>
        </right>
        <top style="thin">
          <color auto="1"/>
        </top>
        <bottom style="thin">
          <color auto="1"/>
        </bottom>
      </border>
    </dxf>
    <dxf>
      <fill>
        <patternFill>
          <fgColor rgb="FFFFCCCC"/>
          <bgColor rgb="FFFFCCCC"/>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s>
  <tableStyles count="0" defaultTableStyle="TableStyleMedium2" defaultPivotStyle="PivotStyleLight16"/>
  <colors>
    <mruColors>
      <color rgb="FFFFFFCC"/>
      <color rgb="FFFFCC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81C7D-CB30-4804-B5AE-FA4C6A116199}">
  <sheetPr codeName="Sheet1">
    <pageSetUpPr fitToPage="1"/>
  </sheetPr>
  <dimension ref="A1:U41"/>
  <sheetViews>
    <sheetView tabSelected="1" workbookViewId="0">
      <selection activeCell="X26" sqref="X26"/>
    </sheetView>
  </sheetViews>
  <sheetFormatPr defaultRowHeight="15" x14ac:dyDescent="0.25"/>
  <cols>
    <col min="2" max="2" width="32.85546875" customWidth="1"/>
    <col min="20" max="20" width="11.85546875" customWidth="1"/>
  </cols>
  <sheetData>
    <row r="1" spans="1:21" ht="18.75" x14ac:dyDescent="0.25">
      <c r="A1" s="1"/>
      <c r="B1" s="36" t="s">
        <v>71</v>
      </c>
      <c r="C1" s="37"/>
      <c r="D1" s="37"/>
      <c r="E1" s="37"/>
      <c r="F1" s="37"/>
      <c r="G1" s="37"/>
      <c r="H1" s="37"/>
      <c r="I1" s="37"/>
      <c r="J1" s="37"/>
      <c r="K1" s="37"/>
      <c r="L1" s="37"/>
      <c r="M1" s="37"/>
      <c r="N1" s="37"/>
      <c r="O1" s="37"/>
      <c r="P1" s="37"/>
      <c r="Q1" s="37"/>
      <c r="R1" s="37"/>
      <c r="S1" s="37"/>
      <c r="T1" s="2"/>
    </row>
    <row r="2" spans="1:21" ht="15.75" x14ac:dyDescent="0.25">
      <c r="A2" s="1"/>
      <c r="B2" s="3" t="s">
        <v>0</v>
      </c>
      <c r="C2" s="38"/>
      <c r="D2" s="39"/>
      <c r="E2" s="39"/>
      <c r="F2" s="39"/>
      <c r="G2" s="40"/>
      <c r="H2" s="4"/>
      <c r="I2" s="4"/>
      <c r="J2" s="5" t="s">
        <v>1</v>
      </c>
      <c r="K2" s="41"/>
      <c r="L2" s="42"/>
      <c r="M2" s="6"/>
      <c r="N2" s="7"/>
      <c r="O2" s="3" t="s">
        <v>2</v>
      </c>
      <c r="P2" s="43"/>
      <c r="Q2" s="43"/>
      <c r="R2" s="43"/>
      <c r="S2" s="43"/>
      <c r="T2" s="2"/>
    </row>
    <row r="3" spans="1:21" x14ac:dyDescent="0.25">
      <c r="A3" s="23"/>
      <c r="B3" s="23"/>
      <c r="C3" s="23"/>
      <c r="D3" s="23"/>
      <c r="E3" s="23"/>
      <c r="F3" s="23"/>
      <c r="G3" s="23"/>
      <c r="H3" s="23"/>
      <c r="I3" s="23"/>
      <c r="J3" s="23"/>
      <c r="K3" s="23"/>
      <c r="L3" s="23"/>
      <c r="M3" s="23"/>
      <c r="N3" s="23"/>
      <c r="O3" s="23"/>
      <c r="P3" s="23"/>
      <c r="Q3" s="23"/>
      <c r="R3" s="23"/>
      <c r="S3" s="23"/>
      <c r="T3" s="23"/>
    </row>
    <row r="4" spans="1:21" ht="15.75" x14ac:dyDescent="0.25">
      <c r="A4" s="27" t="s">
        <v>121</v>
      </c>
      <c r="B4" s="27"/>
      <c r="C4" s="27"/>
      <c r="D4" s="27"/>
      <c r="E4" s="27"/>
      <c r="F4" s="27"/>
      <c r="G4" s="27"/>
      <c r="H4" s="27"/>
      <c r="I4" s="27"/>
      <c r="J4" s="27"/>
      <c r="K4" s="27"/>
      <c r="L4" s="27"/>
      <c r="M4" s="27"/>
      <c r="N4" s="27"/>
      <c r="O4" s="27"/>
      <c r="P4" s="27"/>
      <c r="Q4" s="27"/>
      <c r="R4" s="27"/>
      <c r="S4" s="27"/>
      <c r="T4" s="27"/>
    </row>
    <row r="5" spans="1:21" x14ac:dyDescent="0.25">
      <c r="A5" s="23"/>
      <c r="B5" s="23"/>
      <c r="C5" s="23"/>
      <c r="D5" s="23"/>
      <c r="E5" s="23"/>
      <c r="F5" s="23"/>
      <c r="G5" s="23"/>
      <c r="H5" s="23"/>
      <c r="I5" s="23"/>
      <c r="J5" s="23"/>
      <c r="K5" s="23"/>
      <c r="L5" s="23"/>
      <c r="M5" s="23"/>
      <c r="N5" s="23"/>
      <c r="O5" s="23"/>
      <c r="P5" s="23"/>
      <c r="Q5" s="23"/>
      <c r="R5" s="23"/>
      <c r="S5" s="23"/>
      <c r="T5" s="23"/>
    </row>
    <row r="6" spans="1:21" ht="31.5" customHeight="1" x14ac:dyDescent="0.25">
      <c r="A6" s="1"/>
      <c r="B6" s="8" t="s">
        <v>131</v>
      </c>
      <c r="C6" s="30"/>
      <c r="D6" s="33"/>
      <c r="E6" s="33"/>
      <c r="F6" s="33"/>
      <c r="G6" s="33"/>
      <c r="H6" s="33"/>
      <c r="I6" s="33"/>
      <c r="J6" s="33"/>
      <c r="K6" s="33"/>
      <c r="L6" s="33"/>
      <c r="M6" s="33"/>
      <c r="N6" s="33"/>
      <c r="O6" s="33"/>
      <c r="P6" s="33"/>
      <c r="Q6" s="33"/>
      <c r="R6" s="33"/>
      <c r="S6" s="34"/>
      <c r="T6" s="10" t="str">
        <f t="shared" ref="T6:T14" si="0">IF(C6="","No Selection","OK")</f>
        <v>No Selection</v>
      </c>
      <c r="U6" s="16">
        <f>0.03*25*IF(C6='Criteria Options'!A5,0,IF(C6='Criteria Options'!B5,1,IF(C6='Criteria Options'!C5,2,IF(C6='Criteria Options'!D5,3,IF(C6='Criteria Options'!E5,4,0)))))</f>
        <v>0</v>
      </c>
    </row>
    <row r="7" spans="1:21" ht="31.5" customHeight="1" x14ac:dyDescent="0.25">
      <c r="A7" s="1"/>
      <c r="B7" s="8" t="s">
        <v>128</v>
      </c>
      <c r="C7" s="30"/>
      <c r="D7" s="33"/>
      <c r="E7" s="33"/>
      <c r="F7" s="33"/>
      <c r="G7" s="33"/>
      <c r="H7" s="33"/>
      <c r="I7" s="33"/>
      <c r="J7" s="33"/>
      <c r="K7" s="33"/>
      <c r="L7" s="33"/>
      <c r="M7" s="33"/>
      <c r="N7" s="33"/>
      <c r="O7" s="33"/>
      <c r="P7" s="33"/>
      <c r="Q7" s="33"/>
      <c r="R7" s="33"/>
      <c r="S7" s="34"/>
      <c r="T7" s="10" t="str">
        <f t="shared" si="0"/>
        <v>No Selection</v>
      </c>
      <c r="U7" s="16">
        <f>0.08*25*IF(C7='Criteria Options'!A7,0,IF(C7='Criteria Options'!B7,1,IF(C7='Criteria Options'!C7,2,IF(C7='Criteria Options'!D7,3,IF(C7='Criteria Options'!E7,4,0)))))</f>
        <v>0</v>
      </c>
    </row>
    <row r="8" spans="1:21" ht="38.25" customHeight="1" x14ac:dyDescent="0.25">
      <c r="A8" s="1"/>
      <c r="B8" s="8" t="s">
        <v>125</v>
      </c>
      <c r="C8" s="30"/>
      <c r="D8" s="33"/>
      <c r="E8" s="33"/>
      <c r="F8" s="33"/>
      <c r="G8" s="33"/>
      <c r="H8" s="33"/>
      <c r="I8" s="33"/>
      <c r="J8" s="33"/>
      <c r="K8" s="33"/>
      <c r="L8" s="33"/>
      <c r="M8" s="33"/>
      <c r="N8" s="33"/>
      <c r="O8" s="33"/>
      <c r="P8" s="33"/>
      <c r="Q8" s="33"/>
      <c r="R8" s="33"/>
      <c r="S8" s="34"/>
      <c r="T8" s="10" t="str">
        <f t="shared" si="0"/>
        <v>No Selection</v>
      </c>
      <c r="U8" s="16">
        <f>0.05*25*IF(C8='Criteria Options'!A9,0,IF(C8='Criteria Options'!B9,1,IF(C8='Criteria Options'!C9,2,IF(C8='Criteria Options'!D9,3,IF(C8='Criteria Options'!E9,4,0)))))</f>
        <v>0</v>
      </c>
    </row>
    <row r="9" spans="1:21" ht="31.5" customHeight="1" x14ac:dyDescent="0.25">
      <c r="A9" s="1"/>
      <c r="B9" s="8" t="s">
        <v>129</v>
      </c>
      <c r="C9" s="30"/>
      <c r="D9" s="33"/>
      <c r="E9" s="33"/>
      <c r="F9" s="33"/>
      <c r="G9" s="33"/>
      <c r="H9" s="33"/>
      <c r="I9" s="33"/>
      <c r="J9" s="33"/>
      <c r="K9" s="33"/>
      <c r="L9" s="33"/>
      <c r="M9" s="33"/>
      <c r="N9" s="33"/>
      <c r="O9" s="33"/>
      <c r="P9" s="33"/>
      <c r="Q9" s="33"/>
      <c r="R9" s="33"/>
      <c r="S9" s="34"/>
      <c r="T9" s="10" t="str">
        <f t="shared" si="0"/>
        <v>No Selection</v>
      </c>
      <c r="U9" s="16">
        <f>0.1*25*IF(C9='Criteria Options'!A11,0,IF(C9='Criteria Options'!B11,1,IF(C9='Criteria Options'!C11,2,IF(C9='Criteria Options'!D11,3,IF(C9='Criteria Options'!E11,4,0)))))</f>
        <v>0</v>
      </c>
    </row>
    <row r="10" spans="1:21" ht="40.5" customHeight="1" x14ac:dyDescent="0.25">
      <c r="A10" s="1"/>
      <c r="B10" s="8" t="s">
        <v>127</v>
      </c>
      <c r="C10" s="21"/>
      <c r="D10" s="22"/>
      <c r="E10" s="22"/>
      <c r="F10" s="22"/>
      <c r="G10" s="22"/>
      <c r="H10" s="22"/>
      <c r="I10" s="22"/>
      <c r="J10" s="22"/>
      <c r="K10" s="22"/>
      <c r="L10" s="22"/>
      <c r="M10" s="22"/>
      <c r="N10" s="22"/>
      <c r="O10" s="22"/>
      <c r="P10" s="22"/>
      <c r="Q10" s="22"/>
      <c r="R10" s="22"/>
      <c r="S10" s="35"/>
      <c r="T10" s="10" t="str">
        <f t="shared" si="0"/>
        <v>No Selection</v>
      </c>
      <c r="U10" s="16">
        <f>0.1*25*IF(C10='Criteria Options'!A13,0,IF(C10='Criteria Options'!B13,1,IF(C10='Criteria Options'!C13,2,IF(C10='Criteria Options'!D13,3,IF(C10='Criteria Options'!E13,4,0)))))</f>
        <v>0</v>
      </c>
    </row>
    <row r="11" spans="1:21" ht="50.25" customHeight="1" x14ac:dyDescent="0.25">
      <c r="A11" s="1"/>
      <c r="B11" s="8" t="s">
        <v>49</v>
      </c>
      <c r="C11" s="21"/>
      <c r="D11" s="28"/>
      <c r="E11" s="28"/>
      <c r="F11" s="28"/>
      <c r="G11" s="28"/>
      <c r="H11" s="28"/>
      <c r="I11" s="28"/>
      <c r="J11" s="28"/>
      <c r="K11" s="28"/>
      <c r="L11" s="28"/>
      <c r="M11" s="28"/>
      <c r="N11" s="28"/>
      <c r="O11" s="28"/>
      <c r="P11" s="28"/>
      <c r="Q11" s="28"/>
      <c r="R11" s="28"/>
      <c r="S11" s="29"/>
      <c r="T11" s="10" t="str">
        <f t="shared" si="0"/>
        <v>No Selection</v>
      </c>
      <c r="U11" s="16">
        <f>0.05*25*IF(C11='Criteria Options'!A15,0,IF(C11='Criteria Options'!B15,1,IF(C11='Criteria Options'!C15,2,IF(C11='Criteria Options'!D15,3,IF(C11='Criteria Options'!E15,4,0)))))</f>
        <v>0</v>
      </c>
    </row>
    <row r="12" spans="1:21" ht="41.25" customHeight="1" x14ac:dyDescent="0.25">
      <c r="A12" s="1"/>
      <c r="B12" s="8" t="s">
        <v>130</v>
      </c>
      <c r="C12" s="21"/>
      <c r="D12" s="28"/>
      <c r="E12" s="28"/>
      <c r="F12" s="28"/>
      <c r="G12" s="28"/>
      <c r="H12" s="28"/>
      <c r="I12" s="28"/>
      <c r="J12" s="28"/>
      <c r="K12" s="28"/>
      <c r="L12" s="28"/>
      <c r="M12" s="28"/>
      <c r="N12" s="28"/>
      <c r="O12" s="28"/>
      <c r="P12" s="28"/>
      <c r="Q12" s="28"/>
      <c r="R12" s="28"/>
      <c r="S12" s="29"/>
      <c r="T12" s="10" t="str">
        <f t="shared" si="0"/>
        <v>No Selection</v>
      </c>
      <c r="U12" s="16">
        <f>0.08*25*IF(C12='Criteria Options'!A17,0,IF(C12='Criteria Options'!B17,1,IF(C12='Criteria Options'!C17,2,IF(C12='Criteria Options'!D17,3,IF(C12='Criteria Options'!E17,4,0)))))</f>
        <v>0</v>
      </c>
    </row>
    <row r="13" spans="1:21" ht="42" customHeight="1" x14ac:dyDescent="0.25">
      <c r="A13" s="1"/>
      <c r="B13" s="8" t="s">
        <v>126</v>
      </c>
      <c r="C13" s="21"/>
      <c r="D13" s="28"/>
      <c r="E13" s="28"/>
      <c r="F13" s="28"/>
      <c r="G13" s="28"/>
      <c r="H13" s="28"/>
      <c r="I13" s="28"/>
      <c r="J13" s="28"/>
      <c r="K13" s="28"/>
      <c r="L13" s="28"/>
      <c r="M13" s="28"/>
      <c r="N13" s="28"/>
      <c r="O13" s="28"/>
      <c r="P13" s="28"/>
      <c r="Q13" s="28"/>
      <c r="R13" s="28"/>
      <c r="S13" s="29"/>
      <c r="T13" s="10" t="str">
        <f t="shared" si="0"/>
        <v>No Selection</v>
      </c>
      <c r="U13" s="16">
        <f>0.07*25*IF(C13='Criteria Options'!A19,0,IF(C13='Criteria Options'!B19,1,IF(C13='Criteria Options'!C19,2,IF(C13='Criteria Options'!D19,3,IF(C13='Criteria Options'!E19,4,0)))))</f>
        <v>0</v>
      </c>
    </row>
    <row r="14" spans="1:21" ht="31.5" customHeight="1" x14ac:dyDescent="0.25">
      <c r="A14" s="1"/>
      <c r="B14" s="8" t="s">
        <v>140</v>
      </c>
      <c r="C14" s="21"/>
      <c r="D14" s="22"/>
      <c r="E14" s="22"/>
      <c r="F14" s="22"/>
      <c r="G14" s="22"/>
      <c r="H14" s="22"/>
      <c r="I14" s="22"/>
      <c r="J14" s="22"/>
      <c r="K14" s="22"/>
      <c r="L14" s="22"/>
      <c r="M14" s="22"/>
      <c r="N14" s="22"/>
      <c r="O14" s="22"/>
      <c r="P14" s="22"/>
      <c r="Q14" s="22"/>
      <c r="R14" s="22"/>
      <c r="S14" s="35"/>
      <c r="T14" s="10" t="str">
        <f t="shared" si="0"/>
        <v>No Selection</v>
      </c>
      <c r="U14" s="16">
        <f>0.04*25*IF(C14='Criteria Options'!A21,0,IF(C14='Criteria Options'!B21,1,IF(C14='Criteria Options'!C21,2,IF(C14='Criteria Options'!D21,3,IF(C14='Criteria Options'!E21,4,0)))))</f>
        <v>0</v>
      </c>
    </row>
    <row r="15" spans="1:21" x14ac:dyDescent="0.25">
      <c r="A15" s="23"/>
      <c r="B15" s="23"/>
      <c r="C15" s="23"/>
      <c r="D15" s="23"/>
      <c r="E15" s="23"/>
      <c r="F15" s="23"/>
      <c r="G15" s="23"/>
      <c r="H15" s="23"/>
      <c r="I15" s="23"/>
      <c r="J15" s="23"/>
      <c r="K15" s="23"/>
      <c r="L15" s="23"/>
      <c r="M15" s="23"/>
      <c r="N15" s="23"/>
      <c r="O15" s="23"/>
      <c r="P15" s="23"/>
      <c r="Q15" s="23"/>
      <c r="R15" s="23"/>
      <c r="S15" s="23"/>
      <c r="T15" s="23"/>
    </row>
    <row r="16" spans="1:21" ht="15.75" x14ac:dyDescent="0.25">
      <c r="A16" s="27" t="s">
        <v>123</v>
      </c>
      <c r="B16" s="27"/>
      <c r="C16" s="27"/>
      <c r="D16" s="27"/>
      <c r="E16" s="27"/>
      <c r="F16" s="27"/>
      <c r="G16" s="27"/>
      <c r="H16" s="27"/>
      <c r="I16" s="27"/>
      <c r="J16" s="27"/>
      <c r="K16" s="27"/>
      <c r="L16" s="27"/>
      <c r="M16" s="27"/>
      <c r="N16" s="27"/>
      <c r="O16" s="27"/>
      <c r="P16" s="27"/>
      <c r="Q16" s="27"/>
      <c r="R16" s="27"/>
      <c r="S16" s="27"/>
      <c r="T16" s="27"/>
    </row>
    <row r="17" spans="1:21" x14ac:dyDescent="0.25">
      <c r="A17" s="23"/>
      <c r="B17" s="23"/>
      <c r="C17" s="23"/>
      <c r="D17" s="23"/>
      <c r="E17" s="23"/>
      <c r="F17" s="23"/>
      <c r="G17" s="23"/>
      <c r="H17" s="23"/>
      <c r="I17" s="23"/>
      <c r="J17" s="23"/>
      <c r="K17" s="23"/>
      <c r="L17" s="23"/>
      <c r="M17" s="23"/>
      <c r="N17" s="23"/>
      <c r="O17" s="23"/>
      <c r="P17" s="23"/>
      <c r="Q17" s="23"/>
      <c r="R17" s="23"/>
      <c r="S17" s="23"/>
      <c r="T17" s="23"/>
    </row>
    <row r="18" spans="1:21" ht="43.5" customHeight="1" x14ac:dyDescent="0.25">
      <c r="A18" s="1"/>
      <c r="B18" s="8" t="s">
        <v>144</v>
      </c>
      <c r="C18" s="30"/>
      <c r="D18" s="33"/>
      <c r="E18" s="33"/>
      <c r="F18" s="33"/>
      <c r="G18" s="33"/>
      <c r="H18" s="33"/>
      <c r="I18" s="33"/>
      <c r="J18" s="33"/>
      <c r="K18" s="33"/>
      <c r="L18" s="33"/>
      <c r="M18" s="33"/>
      <c r="N18" s="33"/>
      <c r="O18" s="33"/>
      <c r="P18" s="33"/>
      <c r="Q18" s="33"/>
      <c r="R18" s="33"/>
      <c r="S18" s="34"/>
      <c r="T18" s="10" t="str">
        <f>IF(C18="","No Selection","OK")</f>
        <v>No Selection</v>
      </c>
      <c r="U18" s="16">
        <f>0.04*25*IF(C18='Criteria Options'!A24,0,IF(C18='Criteria Options'!B24,1,IF(C18='Criteria Options'!C24,2,IF(C18='Criteria Options'!D24,3,IF(C18='Criteria Options'!E24,4,0)))))</f>
        <v>0</v>
      </c>
    </row>
    <row r="19" spans="1:21" ht="78.75" customHeight="1" x14ac:dyDescent="0.25">
      <c r="A19" s="1"/>
      <c r="B19" s="8" t="s">
        <v>145</v>
      </c>
      <c r="C19" s="21"/>
      <c r="D19" s="22"/>
      <c r="E19" s="22"/>
      <c r="F19" s="22"/>
      <c r="G19" s="22"/>
      <c r="H19" s="22"/>
      <c r="I19" s="22"/>
      <c r="J19" s="22"/>
      <c r="K19" s="22"/>
      <c r="L19" s="22"/>
      <c r="M19" s="22"/>
      <c r="N19" s="22"/>
      <c r="O19" s="22"/>
      <c r="P19" s="22"/>
      <c r="Q19" s="22"/>
      <c r="R19" s="22"/>
      <c r="S19" s="22"/>
      <c r="T19" t="str">
        <f>IF(C19="","No Selection","OK")</f>
        <v>No Selection</v>
      </c>
      <c r="U19" s="16">
        <f>0.04*25*IF(C19='Criteria Options'!A26,0,IF(C19='Criteria Options'!B26,1,IF(C19='Criteria Options'!C26,2,IF(C19='Criteria Options'!D26,3,IF(C19='Criteria Options'!E26,4,0)))))</f>
        <v>0</v>
      </c>
    </row>
    <row r="20" spans="1:21" ht="40.5" customHeight="1" x14ac:dyDescent="0.25">
      <c r="A20" s="1"/>
      <c r="B20" s="8" t="s">
        <v>146</v>
      </c>
      <c r="C20" s="21"/>
      <c r="D20" s="22"/>
      <c r="E20" s="22"/>
      <c r="F20" s="22"/>
      <c r="G20" s="22"/>
      <c r="H20" s="22"/>
      <c r="I20" s="22"/>
      <c r="J20" s="22"/>
      <c r="K20" s="22"/>
      <c r="L20" s="22"/>
      <c r="M20" s="22"/>
      <c r="N20" s="22"/>
      <c r="O20" s="22"/>
      <c r="P20" s="22"/>
      <c r="Q20" s="22"/>
      <c r="R20" s="22"/>
      <c r="S20" s="22"/>
      <c r="T20" t="str">
        <f>IF(C20="","No Selection","OK")</f>
        <v>No Selection</v>
      </c>
      <c r="U20" s="16">
        <f>0.04*25*IF(C20='Criteria Options'!A28,0,IF(C20='Criteria Options'!B28,1,IF(C20='Criteria Options'!C28,2,IF(C20='Criteria Options'!D28,3,IF(C20='Criteria Options'!E28,4,0)))))</f>
        <v>0</v>
      </c>
    </row>
    <row r="21" spans="1:21" ht="54" customHeight="1" x14ac:dyDescent="0.25">
      <c r="A21" s="1"/>
      <c r="B21" s="8" t="s">
        <v>147</v>
      </c>
      <c r="C21" s="21"/>
      <c r="D21" s="22"/>
      <c r="E21" s="22"/>
      <c r="F21" s="22"/>
      <c r="G21" s="22"/>
      <c r="H21" s="22"/>
      <c r="I21" s="22"/>
      <c r="J21" s="22"/>
      <c r="K21" s="22"/>
      <c r="L21" s="22"/>
      <c r="M21" s="22"/>
      <c r="N21" s="22"/>
      <c r="O21" s="22"/>
      <c r="P21" s="22"/>
      <c r="Q21" s="22"/>
      <c r="R21" s="22"/>
      <c r="S21" s="22"/>
      <c r="T21" s="10" t="str">
        <f>IF(C21="","No Selection","OK")</f>
        <v>No Selection</v>
      </c>
      <c r="U21" s="15">
        <f>0.04*25*IF(C21='Criteria Options'!A30,0,IF(C21='Criteria Options'!B30,1,IF(C21='Criteria Options'!C30,2,IF(C21='Criteria Options'!D30,3,IF(C21='Criteria Options'!E30,4,0)))))</f>
        <v>0</v>
      </c>
    </row>
    <row r="22" spans="1:21" ht="54" customHeight="1" x14ac:dyDescent="0.25">
      <c r="A22" s="1"/>
      <c r="B22" s="8" t="s">
        <v>148</v>
      </c>
      <c r="C22" s="21"/>
      <c r="D22" s="22"/>
      <c r="E22" s="22"/>
      <c r="F22" s="22"/>
      <c r="G22" s="22"/>
      <c r="H22" s="22"/>
      <c r="I22" s="22"/>
      <c r="J22" s="22"/>
      <c r="K22" s="22"/>
      <c r="L22" s="22"/>
      <c r="M22" s="22"/>
      <c r="N22" s="22"/>
      <c r="O22" s="22"/>
      <c r="P22" s="22"/>
      <c r="Q22" s="22"/>
      <c r="R22" s="22"/>
      <c r="S22" s="22"/>
      <c r="T22" s="10" t="str">
        <f>IF(C22="","No Selection","OK")</f>
        <v>No Selection</v>
      </c>
      <c r="U22" s="16">
        <f>0.04*25*IF(C22='Criteria Options'!A32,0,IF(C22='Criteria Options'!B32,1,IF(C22='Criteria Options'!C32,2,IF(C22='Criteria Options'!D32,3,IF(C22='Criteria Options'!E32,4,0)))))</f>
        <v>0</v>
      </c>
    </row>
    <row r="23" spans="1:21" x14ac:dyDescent="0.25">
      <c r="A23" s="23"/>
      <c r="B23" s="23"/>
      <c r="C23" s="23"/>
      <c r="D23" s="23"/>
      <c r="E23" s="23"/>
      <c r="F23" s="23"/>
      <c r="G23" s="23"/>
      <c r="H23" s="23"/>
      <c r="I23" s="23"/>
      <c r="J23" s="23"/>
      <c r="K23" s="23"/>
      <c r="L23" s="23"/>
      <c r="M23" s="23"/>
      <c r="N23" s="23"/>
      <c r="O23" s="23"/>
      <c r="P23" s="23"/>
      <c r="Q23" s="23"/>
      <c r="R23" s="23"/>
      <c r="S23" s="23"/>
      <c r="T23" s="23"/>
    </row>
    <row r="24" spans="1:21" ht="15.75" x14ac:dyDescent="0.25">
      <c r="A24" s="27" t="s">
        <v>124</v>
      </c>
      <c r="B24" s="27"/>
      <c r="C24" s="27"/>
      <c r="D24" s="27"/>
      <c r="E24" s="27"/>
      <c r="F24" s="27"/>
      <c r="G24" s="27"/>
      <c r="H24" s="27"/>
      <c r="I24" s="27"/>
      <c r="J24" s="27"/>
      <c r="K24" s="27"/>
      <c r="L24" s="27"/>
      <c r="M24" s="27"/>
      <c r="N24" s="27"/>
      <c r="O24" s="27"/>
      <c r="P24" s="27"/>
      <c r="Q24" s="27"/>
      <c r="R24" s="27"/>
      <c r="S24" s="27"/>
      <c r="T24" s="27"/>
    </row>
    <row r="25" spans="1:21" x14ac:dyDescent="0.25">
      <c r="A25" s="23"/>
      <c r="B25" s="23"/>
      <c r="C25" s="23"/>
      <c r="D25" s="23"/>
      <c r="E25" s="23"/>
      <c r="F25" s="23"/>
      <c r="G25" s="23"/>
      <c r="H25" s="23"/>
      <c r="I25" s="23"/>
      <c r="J25" s="23"/>
      <c r="K25" s="23"/>
      <c r="L25" s="23"/>
      <c r="M25" s="23"/>
      <c r="N25" s="23"/>
      <c r="O25" s="23"/>
      <c r="P25" s="23"/>
      <c r="Q25" s="23"/>
      <c r="R25" s="23"/>
      <c r="S25" s="23"/>
      <c r="T25" s="23"/>
    </row>
    <row r="26" spans="1:21" ht="54" customHeight="1" x14ac:dyDescent="0.25">
      <c r="A26" s="1"/>
      <c r="B26" s="8" t="s">
        <v>154</v>
      </c>
      <c r="C26" s="21"/>
      <c r="D26" s="28"/>
      <c r="E26" s="28"/>
      <c r="F26" s="28"/>
      <c r="G26" s="28"/>
      <c r="H26" s="28"/>
      <c r="I26" s="28"/>
      <c r="J26" s="28"/>
      <c r="K26" s="28"/>
      <c r="L26" s="28"/>
      <c r="M26" s="28"/>
      <c r="N26" s="28"/>
      <c r="O26" s="28"/>
      <c r="P26" s="28"/>
      <c r="Q26" s="28"/>
      <c r="R26" s="28"/>
      <c r="S26" s="29"/>
      <c r="T26" s="10" t="str">
        <f>IF(C26="","No Selection","OK")</f>
        <v>No Selection</v>
      </c>
      <c r="U26" s="16">
        <f>0.07*25*IF(C26='Criteria Options'!A35,0,IF(C26='Criteria Options'!B35,1,IF(C26='Criteria Options'!C35,2,IF(C26='Criteria Options'!D35,3,IF(C26='Criteria Options'!E35,4,0)))))</f>
        <v>0</v>
      </c>
    </row>
    <row r="27" spans="1:21" ht="54.75" customHeight="1" x14ac:dyDescent="0.25">
      <c r="A27" s="1"/>
      <c r="B27" s="8" t="s">
        <v>155</v>
      </c>
      <c r="C27" s="30"/>
      <c r="D27" s="31"/>
      <c r="E27" s="31"/>
      <c r="F27" s="31"/>
      <c r="G27" s="31"/>
      <c r="H27" s="31"/>
      <c r="I27" s="31"/>
      <c r="J27" s="31"/>
      <c r="K27" s="31"/>
      <c r="L27" s="31"/>
      <c r="M27" s="31"/>
      <c r="N27" s="31"/>
      <c r="O27" s="31"/>
      <c r="P27" s="31"/>
      <c r="Q27" s="31"/>
      <c r="R27" s="31"/>
      <c r="S27" s="32"/>
      <c r="T27" s="10" t="str">
        <f>IF(C27="","No Selection","OK")</f>
        <v>No Selection</v>
      </c>
      <c r="U27" s="16">
        <f>0.03*25*IF(C27='Criteria Options'!A37,0,IF(C27='Criteria Options'!B37,1,IF(C27='Criteria Options'!C37,2,IF(C27='Criteria Options'!D37,3,IF(C27='Criteria Options'!E37,4,0)))))</f>
        <v>0</v>
      </c>
    </row>
    <row r="28" spans="1:21" x14ac:dyDescent="0.25">
      <c r="A28" s="23"/>
      <c r="B28" s="23"/>
      <c r="C28" s="23"/>
      <c r="D28" s="23"/>
      <c r="E28" s="23"/>
      <c r="F28" s="23"/>
      <c r="G28" s="23"/>
      <c r="H28" s="23"/>
      <c r="I28" s="23"/>
      <c r="J28" s="23"/>
      <c r="K28" s="23"/>
      <c r="L28" s="23"/>
      <c r="M28" s="23"/>
      <c r="N28" s="23"/>
      <c r="O28" s="23"/>
      <c r="P28" s="23"/>
      <c r="Q28" s="23"/>
      <c r="R28" s="23"/>
      <c r="S28" s="23"/>
      <c r="T28" s="23"/>
    </row>
    <row r="29" spans="1:21" ht="15.75" x14ac:dyDescent="0.25">
      <c r="A29" s="27" t="s">
        <v>122</v>
      </c>
      <c r="B29" s="27"/>
      <c r="C29" s="27"/>
      <c r="D29" s="27"/>
      <c r="E29" s="27"/>
      <c r="F29" s="27"/>
      <c r="G29" s="27"/>
      <c r="H29" s="27"/>
      <c r="I29" s="27"/>
      <c r="J29" s="27"/>
      <c r="K29" s="27"/>
      <c r="L29" s="27"/>
      <c r="M29" s="27"/>
      <c r="N29" s="27"/>
      <c r="O29" s="27"/>
      <c r="P29" s="27"/>
      <c r="Q29" s="27"/>
      <c r="R29" s="27"/>
      <c r="S29" s="27"/>
      <c r="T29" s="27"/>
    </row>
    <row r="30" spans="1:21" x14ac:dyDescent="0.25">
      <c r="A30" s="23"/>
      <c r="B30" s="23"/>
      <c r="C30" s="23"/>
      <c r="D30" s="23"/>
      <c r="E30" s="23"/>
      <c r="F30" s="23"/>
      <c r="G30" s="23"/>
      <c r="H30" s="23"/>
      <c r="I30" s="23"/>
      <c r="J30" s="23"/>
      <c r="K30" s="23"/>
      <c r="L30" s="23"/>
      <c r="M30" s="23"/>
      <c r="N30" s="23"/>
      <c r="O30" s="23"/>
      <c r="P30" s="23"/>
      <c r="Q30" s="23"/>
      <c r="R30" s="23"/>
      <c r="S30" s="23"/>
      <c r="T30" s="23"/>
    </row>
    <row r="31" spans="1:21" ht="55.5" customHeight="1" x14ac:dyDescent="0.25">
      <c r="A31" s="1"/>
      <c r="B31" s="8" t="s">
        <v>156</v>
      </c>
      <c r="C31" s="21"/>
      <c r="D31" s="28"/>
      <c r="E31" s="28"/>
      <c r="F31" s="28"/>
      <c r="G31" s="28"/>
      <c r="H31" s="28"/>
      <c r="I31" s="28"/>
      <c r="J31" s="28"/>
      <c r="K31" s="28"/>
      <c r="L31" s="28"/>
      <c r="M31" s="28"/>
      <c r="N31" s="28"/>
      <c r="O31" s="28"/>
      <c r="P31" s="28"/>
      <c r="Q31" s="28"/>
      <c r="R31" s="28"/>
      <c r="S31" s="29"/>
      <c r="T31" s="10" t="str">
        <f>IF(C31="","No Selection","OK")</f>
        <v>No Selection</v>
      </c>
      <c r="U31" s="16">
        <f>0.05*25*IF(C31='Criteria Options'!A40,0,IF(C31='Criteria Options'!B40,1,IF(C31='Criteria Options'!C40,2,IF(C31='Criteria Options'!D40,3,IF(C31='Criteria Options'!E40,4,0)))))</f>
        <v>0</v>
      </c>
    </row>
    <row r="32" spans="1:21" x14ac:dyDescent="0.25">
      <c r="A32" s="23"/>
      <c r="B32" s="23"/>
      <c r="C32" s="23"/>
      <c r="D32" s="23"/>
      <c r="E32" s="23"/>
      <c r="F32" s="23"/>
      <c r="G32" s="23"/>
      <c r="H32" s="23"/>
      <c r="I32" s="23"/>
      <c r="J32" s="23"/>
      <c r="K32" s="23"/>
      <c r="L32" s="23"/>
      <c r="M32" s="23"/>
      <c r="N32" s="23"/>
      <c r="O32" s="23"/>
      <c r="P32" s="23"/>
      <c r="Q32" s="23"/>
      <c r="R32" s="23"/>
      <c r="S32" s="23"/>
      <c r="T32" s="23"/>
    </row>
    <row r="33" spans="1:21" ht="15.75" x14ac:dyDescent="0.25">
      <c r="A33" s="27" t="s">
        <v>72</v>
      </c>
      <c r="B33" s="27"/>
      <c r="C33" s="27"/>
      <c r="D33" s="27"/>
      <c r="E33" s="27"/>
      <c r="F33" s="27"/>
      <c r="G33" s="27"/>
      <c r="H33" s="27"/>
      <c r="I33" s="27"/>
      <c r="J33" s="27"/>
      <c r="K33" s="27"/>
      <c r="L33" s="27"/>
      <c r="M33" s="27"/>
      <c r="N33" s="27"/>
      <c r="O33" s="27"/>
      <c r="P33" s="27"/>
      <c r="Q33" s="27"/>
      <c r="R33" s="27"/>
      <c r="S33" s="27"/>
      <c r="T33" s="27"/>
    </row>
    <row r="34" spans="1:21" x14ac:dyDescent="0.25">
      <c r="A34" s="23"/>
      <c r="B34" s="23"/>
      <c r="C34" s="23"/>
      <c r="D34" s="23"/>
      <c r="E34" s="23"/>
      <c r="F34" s="23"/>
      <c r="G34" s="23"/>
      <c r="H34" s="23"/>
      <c r="I34" s="23"/>
      <c r="J34" s="23"/>
      <c r="K34" s="23"/>
      <c r="L34" s="23"/>
      <c r="M34" s="23"/>
      <c r="N34" s="23"/>
      <c r="O34" s="23"/>
      <c r="P34" s="23"/>
      <c r="Q34" s="23"/>
      <c r="R34" s="23"/>
      <c r="S34" s="23"/>
      <c r="T34" s="23"/>
    </row>
    <row r="35" spans="1:21" ht="55.5" customHeight="1" x14ac:dyDescent="0.25">
      <c r="A35" s="1"/>
      <c r="B35" s="8" t="s">
        <v>73</v>
      </c>
      <c r="C35" s="21"/>
      <c r="D35" s="28"/>
      <c r="E35" s="28"/>
      <c r="F35" s="28"/>
      <c r="G35" s="28"/>
      <c r="H35" s="28"/>
      <c r="I35" s="28"/>
      <c r="J35" s="28"/>
      <c r="K35" s="28"/>
      <c r="L35" s="28"/>
      <c r="M35" s="28"/>
      <c r="N35" s="28"/>
      <c r="O35" s="28"/>
      <c r="P35" s="28"/>
      <c r="Q35" s="28"/>
      <c r="R35" s="28"/>
      <c r="S35" s="29"/>
      <c r="T35" s="10" t="str">
        <f>IF(C35="","No Selection","OK")</f>
        <v>No Selection</v>
      </c>
      <c r="U35" s="16">
        <f>0.05*25*IF(C35='Criteria Options'!A44,0,IF(C35='Criteria Options'!B44,1,IF(C35='Criteria Options'!C44,2,IF(C35='Criteria Options'!D44,3,IF(C35='Criteria Options'!E44,4,0)))))</f>
        <v>0</v>
      </c>
    </row>
    <row r="36" spans="1:21" x14ac:dyDescent="0.25">
      <c r="A36" s="9"/>
      <c r="B36" s="9"/>
      <c r="C36" s="9"/>
      <c r="D36" s="9"/>
      <c r="E36" s="9"/>
      <c r="F36" s="9"/>
      <c r="G36" s="9"/>
      <c r="H36" s="9"/>
      <c r="I36" s="9"/>
      <c r="J36" s="9"/>
      <c r="K36" s="9"/>
      <c r="L36" s="9"/>
      <c r="M36" s="9"/>
      <c r="N36" s="9"/>
      <c r="O36" s="9"/>
      <c r="P36" s="9"/>
      <c r="Q36" s="9"/>
      <c r="R36" s="9"/>
      <c r="S36" s="9"/>
      <c r="T36" s="9"/>
    </row>
    <row r="37" spans="1:21" x14ac:dyDescent="0.25">
      <c r="A37" s="9"/>
      <c r="B37" s="9"/>
      <c r="C37" s="9"/>
      <c r="D37" s="9"/>
      <c r="E37" s="9"/>
      <c r="F37" s="9"/>
      <c r="G37" s="9"/>
      <c r="H37" s="9"/>
      <c r="I37" s="9"/>
      <c r="J37" s="9"/>
      <c r="K37" s="9"/>
      <c r="L37" s="9"/>
      <c r="M37" s="9"/>
      <c r="N37" s="9"/>
      <c r="O37" s="9"/>
      <c r="P37" s="9"/>
      <c r="Q37" s="9"/>
      <c r="R37" s="9"/>
      <c r="S37" s="9"/>
      <c r="T37" s="9"/>
    </row>
    <row r="38" spans="1:21" ht="15.75" customHeight="1" x14ac:dyDescent="0.25">
      <c r="A38" s="27" t="s">
        <v>3</v>
      </c>
      <c r="B38" s="27"/>
      <c r="C38" s="27"/>
      <c r="D38" s="27"/>
      <c r="E38" s="27"/>
      <c r="F38" s="27"/>
      <c r="G38" s="27"/>
      <c r="H38" s="27"/>
      <c r="I38" s="27"/>
      <c r="J38" s="27"/>
      <c r="K38" s="27"/>
      <c r="L38" s="27"/>
      <c r="M38" s="27"/>
      <c r="N38" s="27"/>
      <c r="O38" s="27"/>
      <c r="P38" s="27"/>
      <c r="Q38" s="27"/>
      <c r="R38" s="27"/>
      <c r="S38" s="27"/>
      <c r="T38" s="27"/>
    </row>
    <row r="39" spans="1:21" ht="15.75" thickBot="1" x14ac:dyDescent="0.3">
      <c r="A39" s="23"/>
      <c r="B39" s="23"/>
      <c r="C39" s="23"/>
      <c r="D39" s="23"/>
      <c r="E39" s="23"/>
      <c r="F39" s="23"/>
      <c r="G39" s="23"/>
      <c r="H39" s="23"/>
      <c r="I39" s="23"/>
      <c r="J39" s="23"/>
      <c r="K39" s="23"/>
      <c r="L39" s="23"/>
      <c r="M39" s="23"/>
      <c r="N39" s="23"/>
      <c r="O39" s="23"/>
      <c r="P39" s="23"/>
      <c r="Q39" s="23"/>
      <c r="R39" s="23"/>
      <c r="S39" s="23"/>
      <c r="T39" s="23"/>
    </row>
    <row r="40" spans="1:21" ht="19.5" thickBot="1" x14ac:dyDescent="0.3">
      <c r="A40" s="1"/>
      <c r="B40" s="24" t="s">
        <v>4</v>
      </c>
      <c r="C40" s="25"/>
      <c r="D40" s="25"/>
      <c r="E40" s="25"/>
      <c r="F40" s="25"/>
      <c r="G40" s="25"/>
      <c r="H40" s="25"/>
      <c r="I40" s="25"/>
      <c r="J40" s="25"/>
      <c r="K40" s="25"/>
      <c r="L40" s="25"/>
      <c r="M40" s="25"/>
      <c r="N40" s="25"/>
      <c r="O40" s="25"/>
      <c r="P40" s="25"/>
      <c r="Q40" s="25"/>
      <c r="R40" s="25"/>
      <c r="S40" s="25"/>
      <c r="T40" s="26"/>
    </row>
    <row r="41" spans="1:21" ht="120.75" customHeight="1" thickBot="1" x14ac:dyDescent="0.3">
      <c r="B41" s="18"/>
      <c r="C41" s="19"/>
      <c r="D41" s="19"/>
      <c r="E41" s="19"/>
      <c r="F41" s="19"/>
      <c r="G41" s="19"/>
      <c r="H41" s="19"/>
      <c r="I41" s="19"/>
      <c r="J41" s="19"/>
      <c r="K41" s="19"/>
      <c r="L41" s="19"/>
      <c r="M41" s="19"/>
      <c r="N41" s="19"/>
      <c r="O41" s="19"/>
      <c r="P41" s="19"/>
      <c r="Q41" s="19"/>
      <c r="R41" s="19"/>
      <c r="S41" s="19"/>
      <c r="T41" s="20"/>
    </row>
  </sheetData>
  <mergeCells count="41">
    <mergeCell ref="A30:T30"/>
    <mergeCell ref="C31:S31"/>
    <mergeCell ref="A28:T28"/>
    <mergeCell ref="A15:T15"/>
    <mergeCell ref="C12:S12"/>
    <mergeCell ref="C18:S18"/>
    <mergeCell ref="C19:S19"/>
    <mergeCell ref="C20:S20"/>
    <mergeCell ref="A17:T17"/>
    <mergeCell ref="A16:T16"/>
    <mergeCell ref="C14:S14"/>
    <mergeCell ref="B1:S1"/>
    <mergeCell ref="C2:G2"/>
    <mergeCell ref="K2:L2"/>
    <mergeCell ref="P2:S2"/>
    <mergeCell ref="A3:T3"/>
    <mergeCell ref="A4:T4"/>
    <mergeCell ref="A5:T5"/>
    <mergeCell ref="C6:S6"/>
    <mergeCell ref="C11:S11"/>
    <mergeCell ref="C13:S13"/>
    <mergeCell ref="C10:S10"/>
    <mergeCell ref="C9:S9"/>
    <mergeCell ref="C8:S8"/>
    <mergeCell ref="C7:S7"/>
    <mergeCell ref="B41:T41"/>
    <mergeCell ref="C21:S21"/>
    <mergeCell ref="A39:T39"/>
    <mergeCell ref="B40:T40"/>
    <mergeCell ref="A38:T38"/>
    <mergeCell ref="C22:S22"/>
    <mergeCell ref="A23:T23"/>
    <mergeCell ref="A24:T24"/>
    <mergeCell ref="A25:T25"/>
    <mergeCell ref="C26:S26"/>
    <mergeCell ref="A32:T32"/>
    <mergeCell ref="C27:S27"/>
    <mergeCell ref="A33:T33"/>
    <mergeCell ref="A34:T34"/>
    <mergeCell ref="C35:S35"/>
    <mergeCell ref="A29:T29"/>
  </mergeCells>
  <conditionalFormatting sqref="T6:T14">
    <cfRule type="containsText" dxfId="13" priority="5" operator="containsText" text="OK">
      <formula>NOT(ISERROR(SEARCH("OK",T6)))</formula>
    </cfRule>
    <cfRule type="containsText" dxfId="12" priority="6" operator="containsText" text="No Selection">
      <formula>NOT(ISERROR(SEARCH("No Selection",T6)))</formula>
    </cfRule>
  </conditionalFormatting>
  <conditionalFormatting sqref="T18">
    <cfRule type="containsText" dxfId="11" priority="23" operator="containsText" text="No Selection">
      <formula>NOT(ISERROR(SEARCH("No Selection",T18)))</formula>
    </cfRule>
  </conditionalFormatting>
  <conditionalFormatting sqref="T18:T19">
    <cfRule type="containsText" dxfId="10" priority="16" operator="containsText" text="OK">
      <formula>NOT(ISERROR(SEARCH("OK",T18)))</formula>
    </cfRule>
  </conditionalFormatting>
  <conditionalFormatting sqref="T19">
    <cfRule type="containsText" dxfId="9" priority="15" operator="containsText" text="No Selection">
      <formula>NOT(ISERROR(SEARCH("No Selection",T19)))</formula>
    </cfRule>
  </conditionalFormatting>
  <conditionalFormatting sqref="T20">
    <cfRule type="containsText" dxfId="8" priority="28" operator="containsText" text="OK">
      <formula>NOT(ISERROR(SEARCH("OK",T20)))</formula>
    </cfRule>
  </conditionalFormatting>
  <conditionalFormatting sqref="T20:T22">
    <cfRule type="containsText" dxfId="7" priority="24" operator="containsText" text="No Selection">
      <formula>NOT(ISERROR(SEARCH("No Selection",T20)))</formula>
    </cfRule>
  </conditionalFormatting>
  <conditionalFormatting sqref="T21:T22">
    <cfRule type="containsText" dxfId="6" priority="18" operator="containsText" text="OK">
      <formula>NOT(ISERROR(SEARCH("OK",T21)))</formula>
    </cfRule>
  </conditionalFormatting>
  <conditionalFormatting sqref="T26:T27">
    <cfRule type="containsText" dxfId="5" priority="20" operator="containsText" text="OK">
      <formula>NOT(ISERROR(SEARCH("OK",T26)))</formula>
    </cfRule>
    <cfRule type="containsText" dxfId="4" priority="22" operator="containsText" text="No Selection">
      <formula>NOT(ISERROR(SEARCH("No Selection",T26)))</formula>
    </cfRule>
  </conditionalFormatting>
  <conditionalFormatting sqref="T31">
    <cfRule type="containsText" dxfId="3" priority="1" operator="containsText" text="OK">
      <formula>NOT(ISERROR(SEARCH("OK",T31)))</formula>
    </cfRule>
    <cfRule type="containsText" dxfId="2" priority="2" operator="containsText" text="No Selection">
      <formula>NOT(ISERROR(SEARCH("No Selection",T31)))</formula>
    </cfRule>
  </conditionalFormatting>
  <conditionalFormatting sqref="T35">
    <cfRule type="containsText" dxfId="1" priority="3" operator="containsText" text="OK">
      <formula>NOT(ISERROR(SEARCH("OK",T35)))</formula>
    </cfRule>
    <cfRule type="containsText" dxfId="0" priority="4" operator="containsText" text="No Selection">
      <formula>NOT(ISERROR(SEARCH("No Selection",T35)))</formula>
    </cfRule>
  </conditionalFormatting>
  <pageMargins left="0.7" right="0.7" top="0.75" bottom="0.75" header="0.3" footer="0.3"/>
  <pageSetup paperSize="9" scale="61" orientation="landscape" r:id="rId1"/>
  <extLst>
    <ext xmlns:x14="http://schemas.microsoft.com/office/spreadsheetml/2009/9/main" uri="{CCE6A557-97BC-4b89-ADB6-D9C93CAAB3DF}">
      <x14:dataValidations xmlns:xm="http://schemas.microsoft.com/office/excel/2006/main" count="18">
        <x14:dataValidation type="list" allowBlank="1" showInputMessage="1" showErrorMessage="1" xr:uid="{31F11251-E27D-429B-91E4-127A2C2C3A79}">
          <x14:formula1>
            <xm:f>'Criteria Options'!$A$30:$E$30</xm:f>
          </x14:formula1>
          <xm:sqref>C21:S21</xm:sqref>
        </x14:dataValidation>
        <x14:dataValidation type="list" allowBlank="1" showInputMessage="1" showErrorMessage="1" xr:uid="{15053D71-777F-47BE-8B46-02BEBB21CB2C}">
          <x14:formula1>
            <xm:f>'Criteria Options'!$A$32:$E$32</xm:f>
          </x14:formula1>
          <xm:sqref>C22:S22</xm:sqref>
        </x14:dataValidation>
        <x14:dataValidation type="list" allowBlank="1" showInputMessage="1" showErrorMessage="1" xr:uid="{BB41A5A0-D5CC-4B90-AB88-E0EF0CCE182C}">
          <x14:formula1>
            <xm:f>'Criteria Options'!$A$35:$E$35</xm:f>
          </x14:formula1>
          <xm:sqref>C26:S26</xm:sqref>
        </x14:dataValidation>
        <x14:dataValidation type="list" allowBlank="1" showInputMessage="1" showErrorMessage="1" xr:uid="{AB22BDB6-37CB-40AE-93B5-835C54510766}">
          <x14:formula1>
            <xm:f>'Criteria Options'!$A$37:$E$37</xm:f>
          </x14:formula1>
          <xm:sqref>C27:S27</xm:sqref>
        </x14:dataValidation>
        <x14:dataValidation type="list" allowBlank="1" showInputMessage="1" showErrorMessage="1" xr:uid="{173525C4-C8DB-43B3-9981-15F3AE1D4358}">
          <x14:formula1>
            <xm:f>'Criteria Options'!$A$24:$E$24</xm:f>
          </x14:formula1>
          <xm:sqref>C18:S18</xm:sqref>
        </x14:dataValidation>
        <x14:dataValidation type="list" allowBlank="1" showInputMessage="1" showErrorMessage="1" xr:uid="{3247B673-2046-4DE5-B788-FEC1C6C4C2EE}">
          <x14:formula1>
            <xm:f>'Criteria Options'!$A$28:$E$28</xm:f>
          </x14:formula1>
          <xm:sqref>C20:S20</xm:sqref>
        </x14:dataValidation>
        <x14:dataValidation type="list" allowBlank="1" showInputMessage="1" showErrorMessage="1" xr:uid="{A30AA950-A340-4596-856C-233F6948189A}">
          <x14:formula1>
            <xm:f>'Criteria Options'!$A$5:$E$5</xm:f>
          </x14:formula1>
          <xm:sqref>C6:S6</xm:sqref>
        </x14:dataValidation>
        <x14:dataValidation type="list" allowBlank="1" showInputMessage="1" showErrorMessage="1" xr:uid="{C66AE08C-D645-4ABC-9FA3-C01D7A2FE1AC}">
          <x14:formula1>
            <xm:f>'Criteria Options'!$A$15:$E$15</xm:f>
          </x14:formula1>
          <xm:sqref>C11:S11</xm:sqref>
        </x14:dataValidation>
        <x14:dataValidation type="list" allowBlank="1" showInputMessage="1" showErrorMessage="1" xr:uid="{023D08CD-7A47-440A-AF2D-876689196628}">
          <x14:formula1>
            <xm:f>'Criteria Options'!$A$17:$E$17</xm:f>
          </x14:formula1>
          <xm:sqref>C12:S12</xm:sqref>
        </x14:dataValidation>
        <x14:dataValidation type="list" allowBlank="1" showInputMessage="1" showErrorMessage="1" xr:uid="{C53A32D1-2781-454E-B0BC-7DA0BCD7499A}">
          <x14:formula1>
            <xm:f>'Criteria Options'!$A$21:$E$21</xm:f>
          </x14:formula1>
          <xm:sqref>C14:S14</xm:sqref>
        </x14:dataValidation>
        <x14:dataValidation type="list" allowBlank="1" showInputMessage="1" showErrorMessage="1" xr:uid="{661B93B4-3DCA-4782-AD1F-DA2B4460743B}">
          <x14:formula1>
            <xm:f>'Criteria Options'!$A$26:$E$26</xm:f>
          </x14:formula1>
          <xm:sqref>C19:S19</xm:sqref>
        </x14:dataValidation>
        <x14:dataValidation type="list" allowBlank="1" showInputMessage="1" showErrorMessage="1" xr:uid="{370D5381-A9BE-4A40-85BF-89BE5C890680}">
          <x14:formula1>
            <xm:f>'Criteria Options'!$A$19:$E$19</xm:f>
          </x14:formula1>
          <xm:sqref>C13:S13</xm:sqref>
        </x14:dataValidation>
        <x14:dataValidation type="list" allowBlank="1" showInputMessage="1" showErrorMessage="1" xr:uid="{1D49E624-7B5D-4EC4-82CF-367DB2BF4914}">
          <x14:formula1>
            <xm:f>'Criteria Options'!$A$44:$E$44</xm:f>
          </x14:formula1>
          <xm:sqref>C35:S35</xm:sqref>
        </x14:dataValidation>
        <x14:dataValidation type="list" allowBlank="1" showInputMessage="1" showErrorMessage="1" xr:uid="{1D2A9767-32CD-480A-A09C-8BD766668931}">
          <x14:formula1>
            <xm:f>'Criteria Options'!$A$7:$E$7</xm:f>
          </x14:formula1>
          <xm:sqref>C7:S7</xm:sqref>
        </x14:dataValidation>
        <x14:dataValidation type="list" allowBlank="1" showInputMessage="1" showErrorMessage="1" xr:uid="{9CFDC6BC-1F8E-42ED-B1D1-42F4DD5899B2}">
          <x14:formula1>
            <xm:f>'Criteria Options'!$A$9:$E$9</xm:f>
          </x14:formula1>
          <xm:sqref>C8:S8</xm:sqref>
        </x14:dataValidation>
        <x14:dataValidation type="list" allowBlank="1" showInputMessage="1" showErrorMessage="1" xr:uid="{87F55456-8B7D-4A6A-BC02-06B4E10CE2D3}">
          <x14:formula1>
            <xm:f>'Criteria Options'!$A$13:$E$13</xm:f>
          </x14:formula1>
          <xm:sqref>C10:S10</xm:sqref>
        </x14:dataValidation>
        <x14:dataValidation type="list" allowBlank="1" showInputMessage="1" showErrorMessage="1" xr:uid="{0826F03B-0999-457E-9514-55EC4EC16313}">
          <x14:formula1>
            <xm:f>'Criteria Options'!$A$11:$E$11</xm:f>
          </x14:formula1>
          <xm:sqref>C9:S9</xm:sqref>
        </x14:dataValidation>
        <x14:dataValidation type="list" allowBlank="1" showInputMessage="1" showErrorMessage="1" xr:uid="{010DC3D6-F32A-4D9B-AE85-3D8CE6D73E46}">
          <x14:formula1>
            <xm:f>'Criteria Options'!$A$40:$E$40</xm:f>
          </x14:formula1>
          <xm:sqref>C31:S31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79E92-A399-421E-B376-2525E90659E2}">
  <sheetPr codeName="Sheet2">
    <pageSetUpPr fitToPage="1"/>
  </sheetPr>
  <dimension ref="A1:E44"/>
  <sheetViews>
    <sheetView topLeftCell="A35" workbookViewId="0">
      <selection activeCell="E45" sqref="E45"/>
    </sheetView>
  </sheetViews>
  <sheetFormatPr defaultRowHeight="15" x14ac:dyDescent="0.25"/>
  <cols>
    <col min="1" max="1" width="41.7109375" customWidth="1"/>
    <col min="2" max="2" width="42.5703125" customWidth="1"/>
    <col min="3" max="4" width="40.28515625" customWidth="1"/>
    <col min="5" max="5" width="43.140625" customWidth="1"/>
  </cols>
  <sheetData>
    <row r="1" spans="1:5" x14ac:dyDescent="0.25">
      <c r="A1" s="13">
        <v>0</v>
      </c>
      <c r="B1" s="13">
        <v>0.25</v>
      </c>
      <c r="C1" s="13">
        <v>0.5</v>
      </c>
      <c r="D1" s="13">
        <v>0.75</v>
      </c>
      <c r="E1" s="13">
        <v>1</v>
      </c>
    </row>
    <row r="2" spans="1:5" x14ac:dyDescent="0.25">
      <c r="A2" s="14" t="s">
        <v>17</v>
      </c>
      <c r="B2" s="14" t="s">
        <v>18</v>
      </c>
      <c r="C2" s="14" t="s">
        <v>19</v>
      </c>
      <c r="D2" s="14" t="s">
        <v>20</v>
      </c>
      <c r="E2" s="14" t="s">
        <v>16</v>
      </c>
    </row>
    <row r="3" spans="1:5" x14ac:dyDescent="0.25">
      <c r="A3" s="44" t="s">
        <v>132</v>
      </c>
      <c r="B3" s="44"/>
      <c r="C3" s="44"/>
      <c r="D3" s="44"/>
      <c r="E3" s="44"/>
    </row>
    <row r="4" spans="1:5" x14ac:dyDescent="0.25">
      <c r="A4" s="45" t="s">
        <v>133</v>
      </c>
      <c r="B4" s="45"/>
      <c r="C4" s="45"/>
      <c r="D4" s="45"/>
      <c r="E4" s="45"/>
    </row>
    <row r="5" spans="1:5" ht="46.5" customHeight="1" x14ac:dyDescent="0.25">
      <c r="A5" s="11" t="s">
        <v>41</v>
      </c>
      <c r="B5" s="11" t="s">
        <v>40</v>
      </c>
      <c r="C5" s="11" t="s">
        <v>42</v>
      </c>
      <c r="D5" s="12" t="s">
        <v>77</v>
      </c>
      <c r="E5" s="11" t="s">
        <v>78</v>
      </c>
    </row>
    <row r="6" spans="1:5" x14ac:dyDescent="0.25">
      <c r="A6" s="45" t="s">
        <v>134</v>
      </c>
      <c r="B6" s="45"/>
      <c r="C6" s="45"/>
      <c r="D6" s="45"/>
      <c r="E6" s="45"/>
    </row>
    <row r="7" spans="1:5" ht="76.5" customHeight="1" x14ac:dyDescent="0.25">
      <c r="A7" s="11" t="s">
        <v>102</v>
      </c>
      <c r="B7" s="11" t="s">
        <v>79</v>
      </c>
      <c r="C7" s="11" t="s">
        <v>80</v>
      </c>
      <c r="D7" s="12" t="s">
        <v>81</v>
      </c>
      <c r="E7" s="11" t="s">
        <v>103</v>
      </c>
    </row>
    <row r="8" spans="1:5" x14ac:dyDescent="0.25">
      <c r="A8" s="45" t="s">
        <v>141</v>
      </c>
      <c r="B8" s="45"/>
      <c r="C8" s="45"/>
      <c r="D8" s="45"/>
      <c r="E8" s="45"/>
    </row>
    <row r="9" spans="1:5" ht="76.5" customHeight="1" x14ac:dyDescent="0.25">
      <c r="A9" s="11" t="s">
        <v>104</v>
      </c>
      <c r="B9" s="11" t="s">
        <v>115</v>
      </c>
      <c r="C9" s="11" t="s">
        <v>118</v>
      </c>
      <c r="D9" s="12" t="s">
        <v>117</v>
      </c>
      <c r="E9" s="11" t="s">
        <v>116</v>
      </c>
    </row>
    <row r="10" spans="1:5" x14ac:dyDescent="0.25">
      <c r="A10" s="45" t="s">
        <v>135</v>
      </c>
      <c r="B10" s="45"/>
      <c r="C10" s="45"/>
      <c r="D10" s="45"/>
      <c r="E10" s="45"/>
    </row>
    <row r="11" spans="1:5" ht="76.5" customHeight="1" x14ac:dyDescent="0.25">
      <c r="A11" s="11" t="s">
        <v>105</v>
      </c>
      <c r="B11" s="11" t="s">
        <v>113</v>
      </c>
      <c r="C11" s="11" t="s">
        <v>110</v>
      </c>
      <c r="D11" s="12" t="s">
        <v>114</v>
      </c>
      <c r="E11" s="11" t="s">
        <v>106</v>
      </c>
    </row>
    <row r="12" spans="1:5" x14ac:dyDescent="0.25">
      <c r="A12" s="45" t="s">
        <v>136</v>
      </c>
      <c r="B12" s="45"/>
      <c r="C12" s="45"/>
      <c r="D12" s="45"/>
      <c r="E12" s="45"/>
    </row>
    <row r="13" spans="1:5" ht="99" customHeight="1" x14ac:dyDescent="0.25">
      <c r="A13" s="11" t="s">
        <v>107</v>
      </c>
      <c r="B13" s="11" t="s">
        <v>111</v>
      </c>
      <c r="C13" s="11" t="s">
        <v>112</v>
      </c>
      <c r="D13" s="12" t="s">
        <v>119</v>
      </c>
      <c r="E13" s="11" t="s">
        <v>120</v>
      </c>
    </row>
    <row r="14" spans="1:5" x14ac:dyDescent="0.25">
      <c r="A14" s="45" t="s">
        <v>137</v>
      </c>
      <c r="B14" s="45"/>
      <c r="C14" s="45"/>
      <c r="D14" s="45"/>
      <c r="E14" s="45"/>
    </row>
    <row r="15" spans="1:5" ht="76.5" customHeight="1" x14ac:dyDescent="0.25">
      <c r="A15" s="11" t="s">
        <v>41</v>
      </c>
      <c r="B15" s="11" t="s">
        <v>43</v>
      </c>
      <c r="C15" s="11" t="s">
        <v>44</v>
      </c>
      <c r="D15" s="12" t="s">
        <v>45</v>
      </c>
      <c r="E15" s="11" t="s">
        <v>46</v>
      </c>
    </row>
    <row r="16" spans="1:5" x14ac:dyDescent="0.25">
      <c r="A16" s="45" t="s">
        <v>138</v>
      </c>
      <c r="B16" s="45"/>
      <c r="C16" s="45"/>
      <c r="D16" s="45"/>
      <c r="E16" s="45"/>
    </row>
    <row r="17" spans="1:5" ht="103.5" customHeight="1" x14ac:dyDescent="0.25">
      <c r="A17" s="11" t="s">
        <v>47</v>
      </c>
      <c r="B17" s="11" t="s">
        <v>48</v>
      </c>
      <c r="C17" s="11" t="s">
        <v>51</v>
      </c>
      <c r="D17" s="12" t="s">
        <v>50</v>
      </c>
      <c r="E17" s="11" t="s">
        <v>52</v>
      </c>
    </row>
    <row r="18" spans="1:5" x14ac:dyDescent="0.25">
      <c r="A18" s="45" t="s">
        <v>139</v>
      </c>
      <c r="B18" s="45"/>
      <c r="C18" s="45"/>
      <c r="D18" s="45"/>
      <c r="E18" s="45"/>
    </row>
    <row r="19" spans="1:5" ht="103.5" customHeight="1" x14ac:dyDescent="0.25">
      <c r="A19" s="11" t="s">
        <v>53</v>
      </c>
      <c r="B19" s="11" t="s">
        <v>57</v>
      </c>
      <c r="C19" s="11" t="s">
        <v>54</v>
      </c>
      <c r="D19" s="12" t="s">
        <v>56</v>
      </c>
      <c r="E19" s="11" t="s">
        <v>55</v>
      </c>
    </row>
    <row r="20" spans="1:5" x14ac:dyDescent="0.25">
      <c r="A20" s="45" t="s">
        <v>142</v>
      </c>
      <c r="B20" s="45"/>
      <c r="C20" s="45"/>
      <c r="D20" s="45"/>
      <c r="E20" s="45"/>
    </row>
    <row r="21" spans="1:5" ht="103.5" customHeight="1" x14ac:dyDescent="0.25">
      <c r="A21" s="11" t="s">
        <v>5</v>
      </c>
      <c r="B21" s="11" t="s">
        <v>65</v>
      </c>
      <c r="C21" s="11" t="s">
        <v>66</v>
      </c>
      <c r="D21" s="12" t="s">
        <v>67</v>
      </c>
      <c r="E21" s="11" t="s">
        <v>64</v>
      </c>
    </row>
    <row r="22" spans="1:5" x14ac:dyDescent="0.25">
      <c r="A22" s="44" t="s">
        <v>143</v>
      </c>
      <c r="B22" s="44"/>
      <c r="C22" s="44"/>
      <c r="D22" s="44"/>
      <c r="E22" s="44"/>
    </row>
    <row r="23" spans="1:5" x14ac:dyDescent="0.25">
      <c r="A23" s="45" t="s">
        <v>149</v>
      </c>
      <c r="B23" s="45"/>
      <c r="C23" s="45"/>
      <c r="D23" s="45"/>
      <c r="E23" s="45"/>
    </row>
    <row r="24" spans="1:5" ht="78.75" customHeight="1" x14ac:dyDescent="0.25">
      <c r="A24" s="11" t="s">
        <v>15</v>
      </c>
      <c r="B24" s="11" t="s">
        <v>83</v>
      </c>
      <c r="C24" s="11" t="s">
        <v>84</v>
      </c>
      <c r="D24" s="12" t="s">
        <v>85</v>
      </c>
      <c r="E24" s="11" t="s">
        <v>86</v>
      </c>
    </row>
    <row r="25" spans="1:5" x14ac:dyDescent="0.25">
      <c r="A25" s="45" t="s">
        <v>150</v>
      </c>
      <c r="B25" s="45"/>
      <c r="C25" s="45"/>
      <c r="D25" s="45"/>
      <c r="E25" s="45"/>
    </row>
    <row r="26" spans="1:5" ht="90" x14ac:dyDescent="0.25">
      <c r="A26" s="11" t="s">
        <v>5</v>
      </c>
      <c r="B26" s="11" t="s">
        <v>27</v>
      </c>
      <c r="C26" s="11" t="s">
        <v>89</v>
      </c>
      <c r="D26" s="12" t="s">
        <v>87</v>
      </c>
      <c r="E26" s="11" t="s">
        <v>88</v>
      </c>
    </row>
    <row r="27" spans="1:5" x14ac:dyDescent="0.25">
      <c r="A27" s="46" t="s">
        <v>151</v>
      </c>
      <c r="B27" s="46"/>
      <c r="C27" s="46"/>
      <c r="D27" s="46"/>
      <c r="E27" s="46"/>
    </row>
    <row r="28" spans="1:5" ht="60" x14ac:dyDescent="0.25">
      <c r="A28" s="11" t="s">
        <v>5</v>
      </c>
      <c r="B28" s="11" t="s">
        <v>32</v>
      </c>
      <c r="C28" s="11" t="s">
        <v>33</v>
      </c>
      <c r="D28" s="12" t="s">
        <v>34</v>
      </c>
      <c r="E28" s="11" t="s">
        <v>6</v>
      </c>
    </row>
    <row r="29" spans="1:5" x14ac:dyDescent="0.25">
      <c r="A29" s="46" t="s">
        <v>152</v>
      </c>
      <c r="B29" s="46"/>
      <c r="C29" s="46"/>
      <c r="D29" s="46"/>
      <c r="E29" s="46"/>
    </row>
    <row r="30" spans="1:5" ht="90" x14ac:dyDescent="0.25">
      <c r="A30" s="11" t="s">
        <v>28</v>
      </c>
      <c r="B30" s="11" t="s">
        <v>29</v>
      </c>
      <c r="C30" s="11" t="s">
        <v>96</v>
      </c>
      <c r="D30" s="11" t="s">
        <v>30</v>
      </c>
      <c r="E30" s="11" t="s">
        <v>31</v>
      </c>
    </row>
    <row r="31" spans="1:5" x14ac:dyDescent="0.25">
      <c r="A31" s="46" t="s">
        <v>153</v>
      </c>
      <c r="B31" s="46"/>
      <c r="C31" s="46"/>
      <c r="D31" s="46"/>
      <c r="E31" s="46"/>
    </row>
    <row r="32" spans="1:5" ht="75" x14ac:dyDescent="0.25">
      <c r="A32" s="11" t="s">
        <v>7</v>
      </c>
      <c r="B32" s="11" t="s">
        <v>95</v>
      </c>
      <c r="C32" s="11" t="s">
        <v>94</v>
      </c>
      <c r="D32" s="11" t="s">
        <v>9</v>
      </c>
      <c r="E32" s="11" t="s">
        <v>8</v>
      </c>
    </row>
    <row r="33" spans="1:5" x14ac:dyDescent="0.25">
      <c r="A33" s="47" t="s">
        <v>68</v>
      </c>
      <c r="B33" s="47"/>
      <c r="C33" s="47"/>
      <c r="D33" s="47"/>
      <c r="E33" s="47"/>
    </row>
    <row r="34" spans="1:5" x14ac:dyDescent="0.25">
      <c r="A34" s="46" t="s">
        <v>69</v>
      </c>
      <c r="B34" s="46"/>
      <c r="C34" s="46"/>
      <c r="D34" s="46"/>
      <c r="E34" s="46"/>
    </row>
    <row r="35" spans="1:5" ht="96" customHeight="1" x14ac:dyDescent="0.25">
      <c r="A35" s="11" t="s">
        <v>10</v>
      </c>
      <c r="B35" s="11" t="s">
        <v>39</v>
      </c>
      <c r="C35" s="11" t="s">
        <v>38</v>
      </c>
      <c r="D35" s="11" t="s">
        <v>37</v>
      </c>
      <c r="E35" s="11" t="s">
        <v>36</v>
      </c>
    </row>
    <row r="36" spans="1:5" x14ac:dyDescent="0.25">
      <c r="A36" s="46" t="s">
        <v>70</v>
      </c>
      <c r="B36" s="46"/>
      <c r="C36" s="46"/>
      <c r="D36" s="46"/>
      <c r="E36" s="46"/>
    </row>
    <row r="37" spans="1:5" ht="45" x14ac:dyDescent="0.25">
      <c r="A37" s="11" t="s">
        <v>11</v>
      </c>
      <c r="B37" s="11" t="s">
        <v>12</v>
      </c>
      <c r="C37" s="11" t="s">
        <v>13</v>
      </c>
      <c r="D37" s="11" t="s">
        <v>14</v>
      </c>
      <c r="E37" s="11" t="s">
        <v>35</v>
      </c>
    </row>
    <row r="38" spans="1:5" x14ac:dyDescent="0.25">
      <c r="A38" s="47" t="s">
        <v>122</v>
      </c>
      <c r="B38" s="47"/>
      <c r="C38" s="47"/>
      <c r="D38" s="47"/>
      <c r="E38" s="47"/>
    </row>
    <row r="39" spans="1:5" x14ac:dyDescent="0.25">
      <c r="A39" s="45" t="s">
        <v>74</v>
      </c>
      <c r="B39" s="45"/>
      <c r="C39" s="45"/>
      <c r="D39" s="45"/>
      <c r="E39" s="45"/>
    </row>
    <row r="40" spans="1:5" ht="90" x14ac:dyDescent="0.25">
      <c r="A40" s="11" t="s">
        <v>97</v>
      </c>
      <c r="B40" s="11" t="s">
        <v>98</v>
      </c>
      <c r="C40" s="11" t="s">
        <v>100</v>
      </c>
      <c r="D40" s="11" t="s">
        <v>101</v>
      </c>
      <c r="E40" s="11" t="s">
        <v>99</v>
      </c>
    </row>
    <row r="41" spans="1:5" x14ac:dyDescent="0.25">
      <c r="A41" s="17"/>
      <c r="B41" s="17"/>
      <c r="C41" s="17"/>
      <c r="D41" s="17"/>
      <c r="E41" s="17"/>
    </row>
    <row r="42" spans="1:5" x14ac:dyDescent="0.25">
      <c r="A42" s="44" t="s">
        <v>72</v>
      </c>
      <c r="B42" s="44"/>
      <c r="C42" s="44"/>
      <c r="D42" s="44"/>
      <c r="E42" s="44"/>
    </row>
    <row r="43" spans="1:5" x14ac:dyDescent="0.25">
      <c r="A43" s="45" t="s">
        <v>74</v>
      </c>
      <c r="B43" s="45"/>
      <c r="C43" s="45"/>
      <c r="D43" s="45"/>
      <c r="E43" s="45"/>
    </row>
    <row r="44" spans="1:5" ht="78.75" customHeight="1" x14ac:dyDescent="0.25">
      <c r="A44" s="11" t="s">
        <v>75</v>
      </c>
      <c r="B44" s="11" t="s">
        <v>90</v>
      </c>
      <c r="C44" s="11" t="s">
        <v>108</v>
      </c>
      <c r="D44" s="12" t="s">
        <v>109</v>
      </c>
      <c r="E44" s="11" t="s">
        <v>157</v>
      </c>
    </row>
  </sheetData>
  <mergeCells count="23">
    <mergeCell ref="A3:E3"/>
    <mergeCell ref="A4:E4"/>
    <mergeCell ref="A14:E14"/>
    <mergeCell ref="A16:E16"/>
    <mergeCell ref="A20:E20"/>
    <mergeCell ref="A18:E18"/>
    <mergeCell ref="A12:E12"/>
    <mergeCell ref="A8:E8"/>
    <mergeCell ref="A6:E6"/>
    <mergeCell ref="A10:E10"/>
    <mergeCell ref="A42:E42"/>
    <mergeCell ref="A43:E43"/>
    <mergeCell ref="A34:E34"/>
    <mergeCell ref="A36:E36"/>
    <mergeCell ref="A22:E22"/>
    <mergeCell ref="A25:E25"/>
    <mergeCell ref="A23:E23"/>
    <mergeCell ref="A27:E27"/>
    <mergeCell ref="A29:E29"/>
    <mergeCell ref="A31:E31"/>
    <mergeCell ref="A33:E33"/>
    <mergeCell ref="A38:E38"/>
    <mergeCell ref="A39:E39"/>
  </mergeCells>
  <pageMargins left="0.7" right="0.7" top="0.75" bottom="0.75" header="0.3" footer="0.3"/>
  <pageSetup paperSize="9" scale="6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50594-BA81-4EFE-B2A1-2894DA0C6ABE}">
  <sheetPr codeName="Sheet3"/>
  <dimension ref="A1:B19"/>
  <sheetViews>
    <sheetView workbookViewId="0">
      <selection activeCell="D22" sqref="D22"/>
    </sheetView>
  </sheetViews>
  <sheetFormatPr defaultRowHeight="15" x14ac:dyDescent="0.25"/>
  <cols>
    <col min="1" max="1" width="19.5703125" customWidth="1"/>
  </cols>
  <sheetData>
    <row r="1" spans="1:2" x14ac:dyDescent="0.25">
      <c r="A1" t="s">
        <v>58</v>
      </c>
      <c r="B1">
        <f>Marking!U6</f>
        <v>0</v>
      </c>
    </row>
    <row r="2" spans="1:2" x14ac:dyDescent="0.25">
      <c r="A2" t="s">
        <v>91</v>
      </c>
      <c r="B2">
        <f>Marking!U7</f>
        <v>0</v>
      </c>
    </row>
    <row r="3" spans="1:2" x14ac:dyDescent="0.25">
      <c r="A3" t="s">
        <v>82</v>
      </c>
      <c r="B3">
        <f>Marking!U8</f>
        <v>0</v>
      </c>
    </row>
    <row r="4" spans="1:2" x14ac:dyDescent="0.25">
      <c r="A4" t="s">
        <v>92</v>
      </c>
      <c r="B4">
        <f>Marking!U9</f>
        <v>0</v>
      </c>
    </row>
    <row r="5" spans="1:2" x14ac:dyDescent="0.25">
      <c r="A5" t="s">
        <v>93</v>
      </c>
      <c r="B5">
        <f>Marking!U10</f>
        <v>0</v>
      </c>
    </row>
    <row r="6" spans="1:2" x14ac:dyDescent="0.25">
      <c r="A6" t="s">
        <v>59</v>
      </c>
      <c r="B6">
        <f>Marking!U11</f>
        <v>0</v>
      </c>
    </row>
    <row r="7" spans="1:2" x14ac:dyDescent="0.25">
      <c r="A7" t="s">
        <v>60</v>
      </c>
      <c r="B7">
        <f>Marking!U12</f>
        <v>0</v>
      </c>
    </row>
    <row r="8" spans="1:2" x14ac:dyDescent="0.25">
      <c r="A8" t="s">
        <v>61</v>
      </c>
      <c r="B8">
        <f>Marking!U13</f>
        <v>0</v>
      </c>
    </row>
    <row r="9" spans="1:2" x14ac:dyDescent="0.25">
      <c r="A9" t="s">
        <v>62</v>
      </c>
      <c r="B9">
        <f>Marking!U14</f>
        <v>0</v>
      </c>
    </row>
    <row r="10" spans="1:2" x14ac:dyDescent="0.25">
      <c r="A10" t="s">
        <v>21</v>
      </c>
      <c r="B10">
        <f>Marking!U18</f>
        <v>0</v>
      </c>
    </row>
    <row r="11" spans="1:2" x14ac:dyDescent="0.25">
      <c r="A11" t="s">
        <v>63</v>
      </c>
      <c r="B11">
        <f>Marking!U19</f>
        <v>0</v>
      </c>
    </row>
    <row r="12" spans="1:2" x14ac:dyDescent="0.25">
      <c r="A12" t="s">
        <v>22</v>
      </c>
      <c r="B12">
        <f>Marking!U20</f>
        <v>0</v>
      </c>
    </row>
    <row r="13" spans="1:2" x14ac:dyDescent="0.25">
      <c r="A13" t="s">
        <v>23</v>
      </c>
      <c r="B13">
        <f>Marking!U21</f>
        <v>0</v>
      </c>
    </row>
    <row r="14" spans="1:2" x14ac:dyDescent="0.25">
      <c r="A14" t="s">
        <v>24</v>
      </c>
      <c r="B14">
        <f>Marking!U22</f>
        <v>0</v>
      </c>
    </row>
    <row r="15" spans="1:2" x14ac:dyDescent="0.25">
      <c r="A15" t="s">
        <v>25</v>
      </c>
      <c r="B15">
        <f>Marking!U26</f>
        <v>0</v>
      </c>
    </row>
    <row r="16" spans="1:2" x14ac:dyDescent="0.25">
      <c r="A16" t="s">
        <v>26</v>
      </c>
      <c r="B16">
        <f>Marking!U27</f>
        <v>0</v>
      </c>
    </row>
    <row r="17" spans="1:2" x14ac:dyDescent="0.25">
      <c r="A17" t="s">
        <v>158</v>
      </c>
      <c r="B17">
        <f>Marking!U31</f>
        <v>0</v>
      </c>
    </row>
    <row r="18" spans="1:2" x14ac:dyDescent="0.25">
      <c r="A18" t="s">
        <v>76</v>
      </c>
      <c r="B18">
        <f>Marking!U35</f>
        <v>0</v>
      </c>
    </row>
    <row r="19" spans="1:2" x14ac:dyDescent="0.25">
      <c r="B19">
        <f>SUM(B1:B18)</f>
        <v>0</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Marking</vt:lpstr>
      <vt:lpstr>Criteria Options</vt:lpstr>
      <vt:lpstr>Marks</vt:lpstr>
      <vt:lpstr>Outline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Louise Brown</dc:creator>
  <cp:lastModifiedBy>Louise Brown (staff)</cp:lastModifiedBy>
  <cp:lastPrinted>2021-11-09T10:23:41Z</cp:lastPrinted>
  <dcterms:created xsi:type="dcterms:W3CDTF">2021-08-31T14:58:50Z</dcterms:created>
  <dcterms:modified xsi:type="dcterms:W3CDTF">2024-08-21T15:11:37Z</dcterms:modified>
</cp:coreProperties>
</file>